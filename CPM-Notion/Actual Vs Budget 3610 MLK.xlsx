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2c89b1e0898b85/01. Tampa JOC/01. Homes Rehab ^0 Repairs Tampa JOC/02. CRA Homes  - BE/01425C - Gwen Hewitt - 3610 E. Dr. MLK Jr/01. SOP 3610 Martin Luther King/Accounting/"/>
    </mc:Choice>
  </mc:AlternateContent>
  <xr:revisionPtr revIDLastSave="697" documentId="11_D9FF236C83F7CB36A54E72A2D6407060149AD6D0" xr6:coauthVersionLast="47" xr6:coauthVersionMax="47" xr10:uidLastSave="{105E2C82-26D5-469B-8912-6BF5F29B43D9}"/>
  <bookViews>
    <workbookView xWindow="-110" yWindow="-110" windowWidth="25820" windowHeight="15500" xr2:uid="{00000000-000D-0000-FFFF-FFFF00000000}"/>
  </bookViews>
  <sheets>
    <sheet name="d20-pmt" sheetId="7" r:id="rId1"/>
    <sheet name="DMI20" sheetId="3" r:id="rId2"/>
    <sheet name="Rehab" sheetId="5" r:id="rId3"/>
    <sheet name="test" sheetId="6" r:id="rId4"/>
    <sheet name="EvA" sheetId="4" r:id="rId5"/>
    <sheet name="CPM" sheetId="8" r:id="rId6"/>
  </sheets>
  <definedNames>
    <definedName name="Google_Sheet_Link_1154346295_432085329" hidden="1">#N/A</definedName>
    <definedName name="Google_Sheet_Link_1544713933_432085329" hidden="1">#N/A</definedName>
    <definedName name="Google_Sheet_Link_502881546_432085329" hidden="1">#N/A</definedName>
    <definedName name="Google_Sheet_Link_82001467_641632771" hidden="1">#N/A</definedName>
    <definedName name="_xlnm.Print_Titles" localSheetId="5">CPM!$1:$5</definedName>
    <definedName name="_xlnm.Print_Titles" localSheetId="0">'d20-pmt'!$1:$9</definedName>
    <definedName name="_xlnm.Print_Titles" localSheetId="1">'DMI20'!$2:$3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F11" i="7" s="1"/>
  <c r="E23" i="7"/>
  <c r="K21" i="7"/>
  <c r="F38" i="7"/>
  <c r="F21" i="7" l="1"/>
  <c r="F20" i="7"/>
  <c r="F10" i="7"/>
  <c r="F19" i="7"/>
  <c r="F18" i="7"/>
  <c r="F17" i="7"/>
  <c r="F16" i="7"/>
  <c r="F15" i="7"/>
  <c r="F14" i="7"/>
  <c r="F13" i="7"/>
  <c r="F12" i="7"/>
  <c r="E24" i="7" s="1"/>
  <c r="C34" i="7"/>
  <c r="C33" i="7"/>
  <c r="J20" i="7"/>
  <c r="I20" i="7"/>
  <c r="H20" i="7"/>
  <c r="H19" i="7"/>
  <c r="K19" i="7" s="1"/>
  <c r="J18" i="7"/>
  <c r="I18" i="7"/>
  <c r="H18" i="7"/>
  <c r="J17" i="7"/>
  <c r="I17" i="7"/>
  <c r="H17" i="7"/>
  <c r="I16" i="7"/>
  <c r="I22" i="7" s="1"/>
  <c r="J16" i="7"/>
  <c r="J22" i="7" s="1"/>
  <c r="H16" i="7"/>
  <c r="K47" i="7"/>
  <c r="K14" i="7"/>
  <c r="K45" i="7"/>
  <c r="K46" i="7"/>
  <c r="H13" i="7"/>
  <c r="K13" i="7" s="1"/>
  <c r="H11" i="7"/>
  <c r="K11" i="7" s="1"/>
  <c r="H12" i="7"/>
  <c r="K12" i="7" s="1"/>
  <c r="H10" i="7"/>
  <c r="K11" i="6"/>
  <c r="K10" i="6"/>
  <c r="J11" i="6"/>
  <c r="K12" i="6"/>
  <c r="J12" i="6"/>
  <c r="D5" i="6"/>
  <c r="E5" i="6" s="1"/>
  <c r="F5" i="6" s="1"/>
  <c r="H5" i="6" s="1"/>
  <c r="L5" i="6"/>
  <c r="M5" i="6" s="1"/>
  <c r="G53" i="5"/>
  <c r="F53" i="5"/>
  <c r="G52" i="5"/>
  <c r="G51" i="5"/>
  <c r="F52" i="5"/>
  <c r="F51" i="5"/>
  <c r="P39" i="3"/>
  <c r="O37" i="3"/>
  <c r="H14" i="3"/>
  <c r="H28" i="3"/>
  <c r="G6" i="5"/>
  <c r="G5" i="5"/>
  <c r="H26" i="3"/>
  <c r="G4" i="5"/>
  <c r="H30" i="5"/>
  <c r="N39" i="3"/>
  <c r="H14" i="5"/>
  <c r="O19" i="3"/>
  <c r="F4" i="5"/>
  <c r="H31" i="5"/>
  <c r="F28" i="5"/>
  <c r="H29" i="5"/>
  <c r="H26" i="5"/>
  <c r="C42" i="4"/>
  <c r="H16" i="5"/>
  <c r="H17" i="5"/>
  <c r="F19" i="5"/>
  <c r="F42" i="5" s="1"/>
  <c r="H21" i="5"/>
  <c r="H22" i="5"/>
  <c r="G23" i="5"/>
  <c r="G24" i="5"/>
  <c r="G54" i="4"/>
  <c r="E11" i="4"/>
  <c r="F11" i="4"/>
  <c r="L11" i="4"/>
  <c r="M11" i="4"/>
  <c r="D12" i="4"/>
  <c r="E12" i="4"/>
  <c r="F12" i="4"/>
  <c r="D13" i="4"/>
  <c r="E13" i="4"/>
  <c r="F13" i="4"/>
  <c r="M13" i="4"/>
  <c r="D14" i="4"/>
  <c r="E14" i="4"/>
  <c r="F14" i="4"/>
  <c r="L14" i="4"/>
  <c r="M14" i="4"/>
  <c r="D16" i="4"/>
  <c r="E16" i="4"/>
  <c r="F16" i="4"/>
  <c r="L16" i="4"/>
  <c r="M16" i="4"/>
  <c r="D17" i="4"/>
  <c r="E17" i="4"/>
  <c r="F17" i="4"/>
  <c r="L17" i="4"/>
  <c r="M17" i="4"/>
  <c r="D19" i="4"/>
  <c r="E19" i="4"/>
  <c r="F19" i="4"/>
  <c r="J19" i="4"/>
  <c r="D21" i="4"/>
  <c r="E21" i="4"/>
  <c r="F21" i="4"/>
  <c r="L21" i="4"/>
  <c r="M21" i="4"/>
  <c r="D22" i="4"/>
  <c r="E22" i="4"/>
  <c r="F22" i="4"/>
  <c r="L22" i="4"/>
  <c r="M22" i="4"/>
  <c r="D23" i="4"/>
  <c r="E23" i="4"/>
  <c r="F23" i="4"/>
  <c r="K23" i="4"/>
  <c r="M23" i="4"/>
  <c r="D24" i="4"/>
  <c r="E24" i="4"/>
  <c r="F24" i="4"/>
  <c r="K24" i="4"/>
  <c r="M24" i="4"/>
  <c r="D26" i="4"/>
  <c r="E26" i="4"/>
  <c r="F26" i="4"/>
  <c r="M26" i="4"/>
  <c r="D28" i="4"/>
  <c r="E28" i="4"/>
  <c r="F28" i="4"/>
  <c r="M28" i="4"/>
  <c r="D29" i="4"/>
  <c r="E29" i="4"/>
  <c r="F29" i="4"/>
  <c r="M29" i="4"/>
  <c r="D30" i="4"/>
  <c r="E30" i="4"/>
  <c r="F30" i="4"/>
  <c r="D31" i="4"/>
  <c r="E31" i="4"/>
  <c r="F31" i="4"/>
  <c r="L31" i="4"/>
  <c r="M31" i="4"/>
  <c r="D32" i="4"/>
  <c r="E32" i="4"/>
  <c r="F32" i="4"/>
  <c r="G32" i="4"/>
  <c r="M32" i="4"/>
  <c r="D33" i="4"/>
  <c r="E33" i="4"/>
  <c r="F33" i="4"/>
  <c r="M33" i="4"/>
  <c r="D34" i="4"/>
  <c r="E34" i="4"/>
  <c r="F34" i="4"/>
  <c r="D35" i="4"/>
  <c r="E35" i="4"/>
  <c r="F35" i="4"/>
  <c r="D38" i="4"/>
  <c r="E38" i="4"/>
  <c r="F38" i="4"/>
  <c r="M38" i="4"/>
  <c r="D39" i="4"/>
  <c r="E39" i="4"/>
  <c r="F39" i="4"/>
  <c r="G39" i="4"/>
  <c r="M39" i="4"/>
  <c r="D41" i="4"/>
  <c r="E41" i="4"/>
  <c r="F41" i="4"/>
  <c r="J41" i="4"/>
  <c r="M41" i="4"/>
  <c r="J42" i="4"/>
  <c r="K42" i="4"/>
  <c r="C44" i="4"/>
  <c r="C45" i="4"/>
  <c r="D7" i="4"/>
  <c r="D42" i="4" s="1"/>
  <c r="E7" i="4"/>
  <c r="E42" i="4" s="1"/>
  <c r="F7" i="4"/>
  <c r="F42" i="4" s="1"/>
  <c r="F48" i="4" s="1"/>
  <c r="H7" i="4"/>
  <c r="L7" i="4"/>
  <c r="L42" i="4" s="1"/>
  <c r="M7" i="4"/>
  <c r="M42" i="4" s="1"/>
  <c r="K10" i="7" l="1"/>
  <c r="H22" i="7"/>
  <c r="C38" i="7"/>
  <c r="J15" i="7"/>
  <c r="C39" i="7"/>
  <c r="K16" i="7"/>
  <c r="H15" i="7"/>
  <c r="I15" i="7"/>
  <c r="K18" i="7"/>
  <c r="K17" i="7"/>
  <c r="K20" i="7"/>
  <c r="E26" i="7"/>
  <c r="E27" i="7" s="1"/>
  <c r="O39" i="3"/>
  <c r="H42" i="5"/>
  <c r="F45" i="5" s="1"/>
  <c r="N6" i="3" s="1"/>
  <c r="I38" i="3" s="1"/>
  <c r="G42" i="5"/>
  <c r="J44" i="4"/>
  <c r="K22" i="7" l="1"/>
  <c r="H23" i="7"/>
  <c r="I23" i="7"/>
  <c r="I24" i="7" s="1"/>
  <c r="J23" i="7"/>
  <c r="J24" i="7" s="1"/>
  <c r="K15" i="7"/>
  <c r="I32" i="3"/>
  <c r="I10" i="3"/>
  <c r="I18" i="3"/>
  <c r="I34" i="3"/>
  <c r="I14" i="3"/>
  <c r="I36" i="3"/>
  <c r="I8" i="3"/>
  <c r="I12" i="3"/>
  <c r="I16" i="3"/>
  <c r="I6" i="3"/>
  <c r="I30" i="3"/>
  <c r="I26" i="3"/>
  <c r="I28" i="3"/>
  <c r="F46" i="5"/>
  <c r="F47" i="5" s="1"/>
  <c r="H43" i="5"/>
  <c r="G43" i="5"/>
  <c r="F43" i="5"/>
  <c r="J43" i="4"/>
  <c r="K43" i="4"/>
  <c r="J45" i="4"/>
  <c r="J46" i="4" s="1"/>
  <c r="L43" i="4"/>
  <c r="K23" i="7" l="1"/>
  <c r="K24" i="7" s="1"/>
  <c r="H24" i="7"/>
  <c r="H26" i="7" s="1"/>
  <c r="J26" i="7" l="1"/>
  <c r="I26" i="7"/>
</calcChain>
</file>

<file path=xl/sharedStrings.xml><?xml version="1.0" encoding="utf-8"?>
<sst xmlns="http://schemas.openxmlformats.org/spreadsheetml/2006/main" count="369" uniqueCount="212">
  <si>
    <r>
      <rPr>
        <b/>
        <sz val="12"/>
        <color rgb="FF000000"/>
        <rFont val="Calibri"/>
        <family val="2"/>
      </rPr>
      <t xml:space="preserve">                                                                     Page 1 of 2 – DMI Solicited/</t>
    </r>
    <r>
      <rPr>
        <b/>
        <sz val="12"/>
        <color rgb="FFAA0000"/>
        <rFont val="Calibri"/>
        <family val="2"/>
      </rPr>
      <t xml:space="preserve">Utilized </t>
    </r>
    <r>
      <rPr>
        <b/>
        <sz val="12"/>
        <color rgb="FF000000"/>
        <rFont val="Calibri"/>
        <family val="2"/>
      </rPr>
      <t xml:space="preserve">Schedules
                 City of Tampa – Schedule of </t>
    </r>
    <r>
      <rPr>
        <b/>
        <sz val="12"/>
        <color rgb="FFAA0000"/>
        <rFont val="Calibri"/>
        <family val="2"/>
      </rPr>
      <t xml:space="preserve">All To-Be-Utilized </t>
    </r>
    <r>
      <rPr>
        <b/>
        <sz val="12"/>
        <color rgb="FF000000"/>
        <rFont val="Calibri"/>
        <family val="2"/>
      </rPr>
      <t xml:space="preserve">Sub-(Contractors/Consultants/Suppliers) </t>
    </r>
    <r>
      <rPr>
        <b/>
        <i/>
        <sz val="12"/>
        <color rgb="FF000000"/>
        <rFont val="Calibri"/>
        <family val="2"/>
      </rPr>
      <t xml:space="preserve">(DMI 20 Form)
</t>
    </r>
    <r>
      <rPr>
        <sz val="12"/>
        <color rgb="FF000000"/>
        <rFont val="Calibri"/>
        <family val="2"/>
      </rPr>
      <t>Contract No.:</t>
    </r>
    <r>
      <rPr>
        <u/>
        <sz val="12"/>
        <color rgb="FF000000"/>
        <rFont val="Times New Roman"/>
        <family val="1"/>
      </rPr>
      <t>                           </t>
    </r>
    <r>
      <rPr>
        <sz val="12"/>
        <color rgb="FF000000"/>
        <rFont val="Calibri"/>
        <family val="2"/>
      </rPr>
      <t>Contract Name:</t>
    </r>
    <r>
      <rPr>
        <u/>
        <sz val="12"/>
        <color rgb="FF000000"/>
        <rFont val="Times New Roman"/>
        <family val="1"/>
      </rPr>
      <t>                                                                                                      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Company Name:</t>
    </r>
    <r>
      <rPr>
        <u/>
        <sz val="12"/>
        <color rgb="FF000000"/>
        <rFont val="Times New Roman"/>
        <family val="1"/>
      </rPr>
      <t>  Lionize Construction        </t>
    </r>
    <r>
      <rPr>
        <sz val="12"/>
        <color rgb="FF000000"/>
        <rFont val="Calibri"/>
        <family val="2"/>
      </rPr>
      <t>Address:</t>
    </r>
    <r>
      <rPr>
        <u/>
        <sz val="12"/>
        <color rgb="FF000000"/>
        <rFont val="Times New Roman"/>
        <family val="1"/>
      </rPr>
      <t>  38439 5th Avenue, PMB 128, Zephyrhills, FL 33542        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Federal ID:</t>
    </r>
    <r>
      <rPr>
        <u/>
        <sz val="12"/>
        <color rgb="FF000000"/>
        <rFont val="Times New Roman"/>
        <family val="1"/>
      </rPr>
      <t>                               </t>
    </r>
    <r>
      <rPr>
        <sz val="12"/>
        <color rgb="FF000000"/>
        <rFont val="Calibri"/>
        <family val="2"/>
      </rPr>
      <t>Phone:</t>
    </r>
    <r>
      <rPr>
        <u/>
        <sz val="12"/>
        <color rgb="FF000000"/>
        <rFont val="Times New Roman"/>
        <family val="1"/>
      </rPr>
      <t> 407-466-3689         </t>
    </r>
    <r>
      <rPr>
        <sz val="12"/>
        <color rgb="FF000000"/>
        <rFont val="Calibri"/>
        <family val="2"/>
      </rPr>
      <t>Fax:</t>
    </r>
    <r>
      <rPr>
        <u/>
        <sz val="12"/>
        <color rgb="FF000000"/>
        <rFont val="Times New Roman"/>
        <family val="1"/>
      </rPr>
      <t>                              </t>
    </r>
    <r>
      <rPr>
        <sz val="12"/>
        <color rgb="FF000000"/>
        <rFont val="Calibri"/>
        <family val="2"/>
      </rPr>
      <t>Email:</t>
    </r>
    <r>
      <rPr>
        <u/>
        <sz val="12"/>
        <color rgb="FF000000"/>
        <rFont val="Times New Roman"/>
        <family val="1"/>
      </rPr>
      <t>                                      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 xml:space="preserve">Check applicable box(es). Detailed Instructions for completing this form are on page 4 of 4.
</t>
    </r>
    <r>
      <rPr>
        <b/>
        <sz val="12"/>
        <color rgb="FF000000"/>
        <rFont val="Calibri"/>
        <family val="2"/>
      </rPr>
      <t>See attached list of additional Firms Utilized and all supplemental information (List must comply with this form)</t>
    </r>
  </si>
  <si>
    <r>
      <rPr>
        <b/>
        <u/>
        <sz val="12"/>
        <rFont val="Calibri"/>
        <family val="2"/>
      </rPr>
      <t xml:space="preserve">Note: Form DMI-20 must list ALL subcontractors To-Be-Utilized.
</t>
    </r>
    <r>
      <rPr>
        <b/>
        <sz val="12"/>
        <rFont val="Calibri"/>
        <family val="2"/>
      </rPr>
      <t>No Subcontracting/consulting (of any kind) will be performed on this contract</t>
    </r>
    <r>
      <rPr>
        <sz val="12"/>
        <rFont val="Calibri"/>
        <family val="2"/>
      </rPr>
      <t xml:space="preserve">.
</t>
    </r>
    <r>
      <rPr>
        <b/>
        <sz val="12"/>
        <rFont val="Calibri"/>
        <family val="2"/>
      </rPr>
      <t>No Firms are listed to be utilized because:</t>
    </r>
    <r>
      <rPr>
        <u/>
        <sz val="12"/>
        <rFont val="Times New Roman"/>
        <family val="1"/>
      </rPr>
      <t>                                                                                                            </t>
    </r>
    <r>
      <rPr>
        <sz val="12"/>
        <rFont val="Times New Roman"/>
        <family val="1"/>
      </rPr>
      <t xml:space="preserve"> </t>
    </r>
    <r>
      <rPr>
        <sz val="12"/>
        <rFont val="Calibri"/>
        <family val="2"/>
      </rPr>
      <t>NIGP Code General Categories:   Buildings = 909, General = 912, Heavy = 913, Trades = 914, Architects = 906, Engineers &amp; Surveyors = 925, Supplier = 912-77
Enter “S” for firms Certified as Small Local Business Enterprises: “O” for Other Non-Certified</t>
    </r>
  </si>
  <si>
    <r>
      <rPr>
        <sz val="12"/>
        <rFont val="Calibri"/>
        <family val="2"/>
      </rPr>
      <t xml:space="preserve">S = SLBE
</t>
    </r>
    <r>
      <rPr>
        <sz val="12"/>
        <rFont val="Calibri"/>
        <family val="2"/>
      </rPr>
      <t>O =Neither</t>
    </r>
  </si>
  <si>
    <r>
      <rPr>
        <sz val="12"/>
        <rFont val="Calibri"/>
        <family val="2"/>
      </rPr>
      <t xml:space="preserve">Company Name Address
</t>
    </r>
    <r>
      <rPr>
        <sz val="12"/>
        <rFont val="Calibri"/>
        <family val="2"/>
      </rPr>
      <t>Phone, Fax, Email</t>
    </r>
  </si>
  <si>
    <r>
      <rPr>
        <sz val="12"/>
        <rFont val="Calibri"/>
        <family val="2"/>
      </rPr>
      <t xml:space="preserve">Trade, Services or Materials NIGP Code
</t>
    </r>
    <r>
      <rPr>
        <sz val="12"/>
        <rFont val="Calibri"/>
        <family val="2"/>
      </rPr>
      <t>Listed above</t>
    </r>
  </si>
  <si>
    <r>
      <rPr>
        <sz val="12"/>
        <rFont val="Calibri"/>
        <family val="2"/>
      </rPr>
      <t>$ Amount of Quote. Letter of Intent (LOI) if available</t>
    </r>
  </si>
  <si>
    <r>
      <rPr>
        <sz val="12"/>
        <rFont val="Calibri"/>
        <family val="2"/>
      </rPr>
      <t xml:space="preserve">Percent of
</t>
    </r>
    <r>
      <rPr>
        <sz val="12"/>
        <rFont val="Calibri"/>
        <family val="2"/>
      </rPr>
      <t xml:space="preserve">Scope or Contract
</t>
    </r>
    <r>
      <rPr>
        <sz val="12"/>
        <rFont val="Calibri"/>
        <family val="2"/>
      </rPr>
      <t>%</t>
    </r>
  </si>
  <si>
    <r>
      <rPr>
        <sz val="12"/>
        <rFont val="Calibri"/>
        <family val="2"/>
      </rPr>
      <t>Federal ID</t>
    </r>
  </si>
  <si>
    <t>PROJ TOTAL</t>
  </si>
  <si>
    <t xml:space="preserve">City of Tampa - Development &amp; Growth </t>
  </si>
  <si>
    <t>Hillsborough</t>
  </si>
  <si>
    <t>S</t>
  </si>
  <si>
    <t>Ambit Engineering, LLC 3848 Sun City Center Blvd Ste 104 PMB 1027 Ruskin, Florida 33573</t>
  </si>
  <si>
    <t>86-3095308</t>
  </si>
  <si>
    <t>O</t>
  </si>
  <si>
    <t>JM Drafting Services LLC
9944 Warm Stone Street Thonotosassa, Fl 33592</t>
  </si>
  <si>
    <t>88-1849350</t>
  </si>
  <si>
    <t>KapCook Enterprises LLC
10810 Boyette Road 148 Riverview, FL 33569</t>
  </si>
  <si>
    <t>912-77</t>
  </si>
  <si>
    <t>83-3172823</t>
  </si>
  <si>
    <t>Wanda Vivieca
1083 Vista Haven Circle, Apt 204
Orlando, FL 32825</t>
  </si>
  <si>
    <t xml:space="preserve">050-72-1499  </t>
  </si>
  <si>
    <t>Hughes Exterminators
1781 W Hillsborough Ave
Tampa, FL 33603
813-884-1555</t>
  </si>
  <si>
    <r>
      <rPr>
        <b/>
        <sz val="12"/>
        <color rgb="FF000000"/>
        <rFont val="Calibri"/>
        <family val="2"/>
      </rPr>
      <t>Total ALL Subcontract / Supplier Utilization $</t>
    </r>
    <r>
      <rPr>
        <u/>
        <sz val="12"/>
        <color rgb="FF000000"/>
        <rFont val="Times New Roman"/>
        <family val="1"/>
      </rPr>
      <t xml:space="preserve">126830.10
</t>
    </r>
    <r>
      <rPr>
        <b/>
        <sz val="12"/>
        <color rgb="FF000000"/>
        <rFont val="Calibri"/>
        <family val="2"/>
      </rPr>
      <t>Total SLBE Utilization $</t>
    </r>
    <r>
      <rPr>
        <b/>
        <u/>
        <sz val="12"/>
        <color rgb="FF000000"/>
        <rFont val="Calibri"/>
        <family val="2"/>
      </rPr>
      <t>40,794.82</t>
    </r>
    <r>
      <rPr>
        <sz val="12"/>
        <color rgb="FF000000"/>
        <rFont val="Times New Roman"/>
        <family val="1"/>
      </rPr>
      <t xml:space="preserve"> 
</t>
    </r>
    <r>
      <rPr>
        <b/>
        <sz val="12"/>
        <color rgb="FF000000"/>
        <rFont val="Calibri"/>
        <family val="2"/>
      </rPr>
      <t xml:space="preserve">Percent SLBE Utilization of Total Bid/Proposal Amt. </t>
    </r>
    <r>
      <rPr>
        <b/>
        <u/>
        <sz val="12"/>
        <color rgb="FF000000"/>
        <rFont val="Calibri"/>
        <family val="2"/>
      </rPr>
      <t>32.16</t>
    </r>
    <r>
      <rPr>
        <b/>
        <sz val="12"/>
        <color rgb="FF000000"/>
        <rFont val="Calibri"/>
        <family val="2"/>
      </rPr>
      <t xml:space="preserve">%
</t>
    </r>
    <r>
      <rPr>
        <sz val="12"/>
        <color rgb="FF000000"/>
        <rFont val="Calibri"/>
        <family val="2"/>
      </rPr>
      <t>It is hereby certified that the following information is a true and accurate account of utilization for sub-contracting opportunities on this Contract.
Signed:</t>
    </r>
    <r>
      <rPr>
        <u/>
        <sz val="12"/>
        <color rgb="FF000000"/>
        <rFont val="Times New Roman"/>
        <family val="1"/>
      </rPr>
      <t>                                                             </t>
    </r>
    <r>
      <rPr>
        <sz val="12"/>
        <color rgb="FF000000"/>
        <rFont val="Calibri"/>
        <family val="2"/>
      </rPr>
      <t>Name/Title:</t>
    </r>
    <r>
      <rPr>
        <u/>
        <sz val="12"/>
        <color rgb="FF000000"/>
        <rFont val="Times New Roman"/>
        <family val="1"/>
      </rPr>
      <t>                                                     </t>
    </r>
    <r>
      <rPr>
        <sz val="12"/>
        <color rgb="FF000000"/>
        <rFont val="Calibri"/>
        <family val="2"/>
      </rPr>
      <t>Date:</t>
    </r>
    <r>
      <rPr>
        <u/>
        <sz val="12"/>
        <color rgb="FF000000"/>
        <rFont val="Times New Roman"/>
        <family val="1"/>
      </rPr>
      <t>                   </t>
    </r>
  </si>
  <si>
    <r>
      <rPr>
        <b/>
        <sz val="12"/>
        <color rgb="FF000000"/>
        <rFont val="Calibri"/>
        <family val="2"/>
      </rPr>
      <t xml:space="preserve">                                                                     Page 1 of 2 – DMI Solicited/</t>
    </r>
    <r>
      <rPr>
        <b/>
        <sz val="12"/>
        <color rgb="FFAA0000"/>
        <rFont val="Calibri"/>
        <family val="2"/>
      </rPr>
      <t xml:space="preserve">Utilized </t>
    </r>
    <r>
      <rPr>
        <b/>
        <sz val="12"/>
        <color rgb="FF000000"/>
        <rFont val="Calibri"/>
        <family val="2"/>
      </rPr>
      <t xml:space="preserve">Schedules
                 City of Tampa – Schedule of </t>
    </r>
    <r>
      <rPr>
        <b/>
        <sz val="12"/>
        <color rgb="FFAA0000"/>
        <rFont val="Calibri"/>
        <family val="2"/>
      </rPr>
      <t xml:space="preserve">All To-Be-Utilized </t>
    </r>
    <r>
      <rPr>
        <b/>
        <sz val="12"/>
        <color rgb="FF000000"/>
        <rFont val="Calibri"/>
        <family val="2"/>
      </rPr>
      <t xml:space="preserve">Sub-(Contractors/Consultants/Suppliers) </t>
    </r>
    <r>
      <rPr>
        <b/>
        <i/>
        <sz val="12"/>
        <color rgb="FF000000"/>
        <rFont val="Calibri"/>
        <family val="2"/>
      </rPr>
      <t xml:space="preserve">(DMI 20 Form)
</t>
    </r>
    <r>
      <rPr>
        <sz val="12"/>
        <color rgb="FF000000"/>
        <rFont val="Calibri"/>
        <family val="2"/>
      </rPr>
      <t>Contract No.:</t>
    </r>
    <r>
      <rPr>
        <u/>
        <sz val="12"/>
        <color rgb="FF000000"/>
        <rFont val="Times New Roman"/>
        <family val="1"/>
      </rPr>
      <t>                           </t>
    </r>
    <r>
      <rPr>
        <sz val="12"/>
        <color rgb="FF000000"/>
        <rFont val="Calibri"/>
        <family val="2"/>
      </rPr>
      <t>Contract Name:</t>
    </r>
    <r>
      <rPr>
        <u/>
        <sz val="12"/>
        <color rgb="FF000000"/>
        <rFont val="Times New Roman"/>
        <family val="1"/>
      </rPr>
      <t>                                                                                                      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Company Name:</t>
    </r>
    <r>
      <rPr>
        <u/>
        <sz val="12"/>
        <color rgb="FF000000"/>
        <rFont val="Times New Roman"/>
        <family val="1"/>
      </rPr>
      <t>  Lionize Construction        </t>
    </r>
    <r>
      <rPr>
        <sz val="12"/>
        <color rgb="FF000000"/>
        <rFont val="Calibri"/>
        <family val="2"/>
      </rPr>
      <t>Address:</t>
    </r>
    <r>
      <rPr>
        <u/>
        <sz val="12"/>
        <color rgb="FF000000"/>
        <rFont val="Times New Roman"/>
        <family val="1"/>
      </rPr>
      <t>  38439 5th Avenue, PMB 128, Zephyrhills, FL 33542        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Federal ID:</t>
    </r>
    <r>
      <rPr>
        <u/>
        <sz val="12"/>
        <color rgb="FF000000"/>
        <rFont val="Times New Roman"/>
        <family val="1"/>
      </rPr>
      <t>                               </t>
    </r>
    <r>
      <rPr>
        <sz val="12"/>
        <color rgb="FF000000"/>
        <rFont val="Calibri"/>
        <family val="2"/>
      </rPr>
      <t>Phone:</t>
    </r>
    <r>
      <rPr>
        <u/>
        <sz val="12"/>
        <color rgb="FF000000"/>
        <rFont val="Times New Roman"/>
        <family val="1"/>
      </rPr>
      <t> 407-466-3689         </t>
    </r>
    <r>
      <rPr>
        <sz val="12"/>
        <color rgb="FF000000"/>
        <rFont val="Calibri"/>
        <family val="2"/>
      </rPr>
      <t>Fax:</t>
    </r>
    <r>
      <rPr>
        <u/>
        <sz val="12"/>
        <color rgb="FF000000"/>
        <rFont val="Times New Roman"/>
        <family val="1"/>
      </rPr>
      <t>                              </t>
    </r>
    <r>
      <rPr>
        <sz val="12"/>
        <color rgb="FF000000"/>
        <rFont val="Calibri"/>
        <family val="2"/>
      </rPr>
      <t>Email:</t>
    </r>
    <r>
      <rPr>
        <u/>
        <sz val="12"/>
        <color rgb="FF000000"/>
        <rFont val="Times New Roman"/>
        <family val="1"/>
      </rPr>
      <t>                                      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 xml:space="preserve">Check applicable box(es). Detailed Instructions for completing this form are on page 4 of 4.
</t>
    </r>
    <r>
      <rPr>
        <b/>
        <sz val="12"/>
        <color rgb="FF000000"/>
        <rFont val="Calibri"/>
        <family val="2"/>
      </rPr>
      <t>See attached list of additional Firms Utilized and all supplemental information (List must comply with this form)</t>
    </r>
  </si>
  <si>
    <t>Company Name Address
Phone, Fax, Email</t>
  </si>
  <si>
    <t>Orange Painting Services 
13014 N Dale Mabry Hwy Suite 127
Tampa, FL 33618</t>
  </si>
  <si>
    <t>36-5114192</t>
  </si>
  <si>
    <t>Gruntle, LLC
39232 9th Avenue Zephyrhills, FL 33542</t>
  </si>
  <si>
    <t>93-3732800</t>
  </si>
  <si>
    <t>Authentic Air Solutions LLC
10948 Keys Gate drive
Riverview, FL 33579</t>
  </si>
  <si>
    <t>84-3961344</t>
  </si>
  <si>
    <t>Sunny R&amp;R LLC
1922 Hillcrest St Orlando, FL 32803</t>
  </si>
  <si>
    <t>83-3164510</t>
  </si>
  <si>
    <t>JDP Electric, Inc
4183 E Hillsborough Ave Tampa, FL 33610</t>
  </si>
  <si>
    <t>59-3511620</t>
  </si>
  <si>
    <t>Tronco's Land of Florida LLC
9202 Celebration Ct
Tampa, Fl 33647</t>
  </si>
  <si>
    <t>84-2385721</t>
  </si>
  <si>
    <t>sum</t>
  </si>
  <si>
    <t>discrepancy</t>
  </si>
  <si>
    <t xml:space="preserve">PROJECT:  </t>
  </si>
  <si>
    <t>CRA-25-883-0001</t>
  </si>
  <si>
    <t xml:space="preserve">LOCATION: </t>
  </si>
  <si>
    <t>3610 E. Dr. MLK Jr. Boulevard</t>
  </si>
  <si>
    <t>orace</t>
  </si>
  <si>
    <t>sunny</t>
  </si>
  <si>
    <t>1. ENVIRONMENTAL TESTING &amp; HAZARD REMEDIATION</t>
  </si>
  <si>
    <t>gruntle</t>
  </si>
  <si>
    <t>DIVISION 01 – GENERAL REQUIREMENTS</t>
  </si>
  <si>
    <t>Column1</t>
  </si>
  <si>
    <t>Sub</t>
  </si>
  <si>
    <t>MBE</t>
  </si>
  <si>
    <t>SLBE</t>
  </si>
  <si>
    <t>Other</t>
  </si>
  <si>
    <t xml:space="preserve">PERMITTING: </t>
  </si>
  <si>
    <t>Tamp</t>
  </si>
  <si>
    <t>hillsborouh</t>
  </si>
  <si>
    <t>Engineer permit</t>
  </si>
  <si>
    <t>Ambit</t>
  </si>
  <si>
    <t>Site Plan</t>
  </si>
  <si>
    <t>JM Draftting</t>
  </si>
  <si>
    <t>portable toylet</t>
  </si>
  <si>
    <t>KapCook Enterprises</t>
  </si>
  <si>
    <t xml:space="preserve">Dump Truck  Waste Management </t>
  </si>
  <si>
    <t>orange</t>
  </si>
  <si>
    <t>Final cleaning</t>
  </si>
  <si>
    <t>Wanda</t>
  </si>
  <si>
    <t>DIVISION 02 – EXISTING CONDITIONS</t>
  </si>
  <si>
    <t xml:space="preserve">Subterranean Termite Treatment for residential structure, main dwelling for existing infestation. </t>
  </si>
  <si>
    <t>Hudges</t>
  </si>
  <si>
    <t xml:space="preserve">Tent Fumigation for wood destroying organisms for residents main dwelling slab for existing infestation. </t>
  </si>
  <si>
    <t>2. SITE WORK &amp; EXTERIOR IMPROVEMENTS</t>
  </si>
  <si>
    <t>Tree Trimming:  OAK TREE trimming and prunning</t>
  </si>
  <si>
    <t>Troncoso</t>
  </si>
  <si>
    <t>6. ROOFING &amp; EXTERIOR FINISHES (DIVISION 07)</t>
  </si>
  <si>
    <t>ROOF REPLACEMENT:</t>
  </si>
  <si>
    <t>Sunny Roofing</t>
  </si>
  <si>
    <t>Gutter</t>
  </si>
  <si>
    <t>Remove &amp; Reinstall Vinyl Soffit &amp; Fascia</t>
  </si>
  <si>
    <t>Orange Painting</t>
  </si>
  <si>
    <t>Exterior Painting </t>
  </si>
  <si>
    <t>7. DOORS, WINDOWS &amp; GLAZING (DIVISION 08)</t>
  </si>
  <si>
    <t>08 40 00 – Windows</t>
  </si>
  <si>
    <t>Gruntle</t>
  </si>
  <si>
    <t>8. INTERIOR FINISHES (DIVISION 09)</t>
  </si>
  <si>
    <t>Flooring</t>
  </si>
  <si>
    <t>Insulation - Close Cell</t>
  </si>
  <si>
    <t>Remove Ceiling Drywall and Insulation</t>
  </si>
  <si>
    <t>Ceiling on all house:  Tape plaster, Flat ceiling, Primer, Paint ceiling</t>
  </si>
  <si>
    <t>Supplies</t>
  </si>
  <si>
    <t>Replace 2 Bathroom Toilet</t>
  </si>
  <si>
    <r>
      <rPr>
        <sz val="11"/>
        <color theme="1"/>
        <rFont val="Calibri"/>
        <family val="2"/>
      </rPr>
      <t>Replace Bathroom Vanity</t>
    </r>
  </si>
  <si>
    <r>
      <rPr>
        <sz val="11"/>
        <color theme="1"/>
        <rFont val="Calibri"/>
        <family val="2"/>
      </rPr>
      <t>Replace Bathroom Mirror</t>
    </r>
  </si>
  <si>
    <t>9. MECHANICAL, PLUMBING &amp; HVAC (DIVISION 20-23)</t>
  </si>
  <si>
    <t>DIVISION 23 – HVAC</t>
  </si>
  <si>
    <t>2.5 TON 14.4 SEER2 ALLIED HEAT PUMP SPLIT UNIT INSTALLATION (HORIZONTAL)</t>
  </si>
  <si>
    <t>Athentic Air</t>
  </si>
  <si>
    <t>4 TON 14.7 SEER2 ALLIED HEAT PUMP SPLIT UNIT INSTALLATION (VERTICAL)</t>
  </si>
  <si>
    <t>10. ELECTRICAL (DIVISION 26)</t>
  </si>
  <si>
    <t>ELECTRICAL:</t>
  </si>
  <si>
    <t>JDP</t>
  </si>
  <si>
    <t>Total Cost</t>
  </si>
  <si>
    <t xml:space="preserve"> </t>
  </si>
  <si>
    <t>Lead Testing</t>
  </si>
  <si>
    <t>AirMD</t>
  </si>
  <si>
    <t>Balance</t>
  </si>
  <si>
    <t>Dump Truck  Waste Management (Dumpsters &amp; Cleaning) 2,800.00 Stamplia</t>
  </si>
  <si>
    <t>MobileDump</t>
  </si>
  <si>
    <t>3D</t>
  </si>
  <si>
    <t>Nancy</t>
  </si>
  <si>
    <t>Interior Painting</t>
  </si>
  <si>
    <t>AIO</t>
  </si>
  <si>
    <t>SLBE Utilization</t>
  </si>
  <si>
    <t>Percent SLBE</t>
  </si>
  <si>
    <r>
      <rPr>
        <b/>
        <sz val="12"/>
        <color rgb="FF000000"/>
        <rFont val="Calibri"/>
        <family val="2"/>
      </rPr>
      <t>Total ALL Subcontract / Supplier Utilization $</t>
    </r>
    <r>
      <rPr>
        <u/>
        <sz val="12"/>
        <color rgb="FF000000"/>
        <rFont val="Times New Roman"/>
        <family val="1"/>
      </rPr>
      <t xml:space="preserve">125,092.61
</t>
    </r>
    <r>
      <rPr>
        <b/>
        <sz val="12"/>
        <color rgb="FF000000"/>
        <rFont val="Calibri"/>
        <family val="2"/>
      </rPr>
      <t>Total SLBE Utilization $</t>
    </r>
    <r>
      <rPr>
        <b/>
        <u/>
        <sz val="12"/>
        <color rgb="FF000000"/>
        <rFont val="Calibri"/>
        <family val="2"/>
      </rPr>
      <t>48,589.82</t>
    </r>
    <r>
      <rPr>
        <sz val="12"/>
        <color rgb="FF000000"/>
        <rFont val="Times New Roman"/>
        <family val="1"/>
      </rPr>
      <t xml:space="preserve"> 
</t>
    </r>
    <r>
      <rPr>
        <b/>
        <sz val="12"/>
        <color rgb="FF000000"/>
        <rFont val="Calibri"/>
        <family val="2"/>
      </rPr>
      <t xml:space="preserve">Percent SLBE Utilization of Total Bid/Proposal Amt. </t>
    </r>
    <r>
      <rPr>
        <b/>
        <u/>
        <sz val="12"/>
        <color rgb="FF000000"/>
        <rFont val="Calibri"/>
        <family val="2"/>
      </rPr>
      <t>38.84</t>
    </r>
    <r>
      <rPr>
        <b/>
        <sz val="12"/>
        <color rgb="FF000000"/>
        <rFont val="Calibri"/>
        <family val="2"/>
      </rPr>
      <t xml:space="preserve">%
</t>
    </r>
    <r>
      <rPr>
        <sz val="12"/>
        <color rgb="FF000000"/>
        <rFont val="Calibri"/>
        <family val="2"/>
      </rPr>
      <t>It is hereby certified that the following information is a true and accurate account of utilization for sub-contracting opportunities on this Contract.
Signed:</t>
    </r>
    <r>
      <rPr>
        <u/>
        <sz val="12"/>
        <color rgb="FF000000"/>
        <rFont val="Times New Roman"/>
        <family val="1"/>
      </rPr>
      <t>                                                             </t>
    </r>
    <r>
      <rPr>
        <sz val="12"/>
        <color rgb="FF000000"/>
        <rFont val="Calibri"/>
        <family val="2"/>
      </rPr>
      <t>Name/Title:</t>
    </r>
    <r>
      <rPr>
        <u/>
        <sz val="12"/>
        <color rgb="FF000000"/>
        <rFont val="Times New Roman"/>
        <family val="1"/>
      </rPr>
      <t>                                                     </t>
    </r>
    <r>
      <rPr>
        <sz val="12"/>
        <color rgb="FF000000"/>
        <rFont val="Calibri"/>
        <family val="2"/>
      </rPr>
      <t>Date:</t>
    </r>
    <r>
      <rPr>
        <u/>
        <sz val="12"/>
        <color rgb="FF000000"/>
        <rFont val="Times New Roman"/>
        <family val="1"/>
      </rPr>
      <t>                   </t>
    </r>
  </si>
  <si>
    <t>Percent SLBE Utilization of Total Bid/Proposal Amt.</t>
  </si>
  <si>
    <t>Total SLBE Utilization</t>
  </si>
  <si>
    <t>Total ALL Subcontract / Supplier Utilization</t>
  </si>
  <si>
    <t>Yes</t>
  </si>
  <si>
    <t>914</t>
  </si>
  <si>
    <t>Trades</t>
  </si>
  <si>
    <t>Tronco's Land of Florida LLC
9202 Celebration Ct
Tampa, FL 33647</t>
  </si>
  <si>
    <t>S
84-2385721</t>
  </si>
  <si>
    <t>No</t>
  </si>
  <si>
    <t>JDP Electric, Inc
4183 E Hillsborough Ave
Tampa, FL 33610</t>
  </si>
  <si>
    <t>O
59-3511620</t>
  </si>
  <si>
    <t>Sunny R&amp;R LLC
1922 Hillcrest St
Orlando, FL 32803</t>
  </si>
  <si>
    <t>O
83-3164510</t>
  </si>
  <si>
    <t>Authentic Air Solutions LLC
10948 Keys Gate Drive
Riverview, FL 33579</t>
  </si>
  <si>
    <t>S
84-3961344</t>
  </si>
  <si>
    <t>Gruntle, LLC
39232 9th Avenue
Zephyrhills, FL 33542</t>
  </si>
  <si>
    <t>O
93-3732800</t>
  </si>
  <si>
    <t>Orange Painting Services
13014 N Dale Mabry Hwy Suite 127
Tampa, FL 33618</t>
  </si>
  <si>
    <t>S
36-5114192</t>
  </si>
  <si>
    <t>Hughes Exterminators
1781 W Hillsborough Ave
Tampa, FL 33603 | 813-884-1555</t>
  </si>
  <si>
    <t xml:space="preserve">O
</t>
  </si>
  <si>
    <t>O
050-72-1499</t>
  </si>
  <si>
    <t>Supplier</t>
  </si>
  <si>
    <t>KapCook Enterprises LLC
10810 Boyette Road 148
Riverview, FL 33569</t>
  </si>
  <si>
    <t>S
83-3172823</t>
  </si>
  <si>
    <t>925</t>
  </si>
  <si>
    <t>Engineers &amp; Surveyors</t>
  </si>
  <si>
    <t>JM Drafting Services LLC
9944 Warm Stone Street
Thonotosassa, FL 33592</t>
  </si>
  <si>
    <t>O
88-1849350</t>
  </si>
  <si>
    <t>Ambit Engineering, LLC
3848 Sun City Center Blvd Ste 104 PMB 1027
Ruskin, FL 33573</t>
  </si>
  <si>
    <t>S
86-3095308</t>
  </si>
  <si>
    <t>N/A</t>
  </si>
  <si>
    <t>909</t>
  </si>
  <si>
    <t>Buildings / Permits</t>
  </si>
  <si>
    <t>Hillsborough County</t>
  </si>
  <si>
    <t xml:space="preserve">
</t>
  </si>
  <si>
    <t>City of Tampa - Development &amp; Growth</t>
  </si>
  <si>
    <t>SLBE
Certified?</t>
  </si>
  <si>
    <t>% of Scope
or Contract</t>
  </si>
  <si>
    <t>$ Amount of Quote /
Letter of Intent (LOI)</t>
  </si>
  <si>
    <t>NIGP Code</t>
  </si>
  <si>
    <t>Trade, Services
or Materials</t>
  </si>
  <si>
    <t>Company Name
Address
Phone / Fax / Email</t>
  </si>
  <si>
    <t>S/O
Federal ID</t>
  </si>
  <si>
    <t>Note: Form DMI-20 must list ALL subcontractors To-Be-Utilized.</t>
  </si>
  <si>
    <t>3610 E Dr Martin Luther King Jr Blvd, Tampa, FL 33610</t>
  </si>
  <si>
    <t>Property Address:</t>
  </si>
  <si>
    <t>Luz@aioenterprise.com</t>
  </si>
  <si>
    <t>Email:</t>
  </si>
  <si>
    <t>407-466-3689</t>
  </si>
  <si>
    <t>Phone:</t>
  </si>
  <si>
    <t>264346308</t>
  </si>
  <si>
    <t>Federal ID:</t>
  </si>
  <si>
    <t>38439 5th Avenue, PMB 128, Zephyrhills, FL 33542</t>
  </si>
  <si>
    <t>Address:</t>
  </si>
  <si>
    <t>Lionize Construction</t>
  </si>
  <si>
    <t>Company Name:</t>
  </si>
  <si>
    <t>Job Order for Residential Rehabilitation and Repair Services</t>
  </si>
  <si>
    <t>Contract Name:</t>
  </si>
  <si>
    <t>25-P-00039</t>
  </si>
  <si>
    <t>Contract No.:</t>
  </si>
  <si>
    <t>DMI-20 Form  |  Page 1 of 2 – DMI Solicited/Utilized Schedules</t>
  </si>
  <si>
    <t>City of Tampa – Schedule of All To-Be-Utilized Sub-(Contractors/Consultants/Suppliers)</t>
  </si>
  <si>
    <t xml:space="preserve">Gordian </t>
  </si>
  <si>
    <t>Pmt1</t>
  </si>
  <si>
    <t>Pmt2</t>
  </si>
  <si>
    <t>pmt 3</t>
  </si>
  <si>
    <t>Total</t>
  </si>
  <si>
    <t>104 Electrical</t>
  </si>
  <si>
    <t>Soffit &amp; Fascia</t>
  </si>
  <si>
    <t>Exterior Paintng</t>
  </si>
  <si>
    <t>PP</t>
  </si>
  <si>
    <t>Dumpster</t>
  </si>
  <si>
    <t>Windows</t>
  </si>
  <si>
    <t>Spray Insulation</t>
  </si>
  <si>
    <t>Ceiling</t>
  </si>
  <si>
    <t>other</t>
  </si>
  <si>
    <t>Termites</t>
  </si>
  <si>
    <t>Sofit &amp; Fascia</t>
  </si>
  <si>
    <t xml:space="preserve">Orange Painting Services
</t>
  </si>
  <si>
    <t xml:space="preserve">Sunny R&amp;R LLC
</t>
  </si>
  <si>
    <t xml:space="preserve">Gruntle, LLC
</t>
  </si>
  <si>
    <t>Roofing &amp; Gutters</t>
  </si>
  <si>
    <t>Remove Ceiling &amp; Insulation</t>
  </si>
  <si>
    <t>Install Spray Insulation</t>
  </si>
  <si>
    <t xml:space="preserve">Install new Ceiling </t>
  </si>
  <si>
    <t>W. Endless Solutions</t>
  </si>
  <si>
    <t>Cleaning</t>
  </si>
  <si>
    <t>Exterior Painting</t>
  </si>
  <si>
    <t xml:space="preserve">Authentic Air Solutions LLC
</t>
  </si>
  <si>
    <t>HVAc</t>
  </si>
  <si>
    <t>Electrical</t>
  </si>
  <si>
    <t>TASK</t>
  </si>
  <si>
    <t>ASSIGNED TO</t>
  </si>
  <si>
    <t>PROGRESS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</si>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</sst>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\$#,##0.00"/>
  </numFmts>
  <fonts count="5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u/>
      <sz val="12"/>
      <name val="Times New Roman"/>
      <family val="1"/>
    </font>
    <font>
      <sz val="12"/>
      <name val="Times New Roman"/>
      <family val="1"/>
    </font>
    <font>
      <b/>
      <u/>
      <sz val="12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4"/>
      <color rgb="FF404040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ptos"/>
      <family val="2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2"/>
      <charset val="204"/>
    </font>
    <font>
      <sz val="12"/>
      <name val="Times New Roman"/>
      <family val="2"/>
      <charset val="204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04040"/>
      <name val="Calibri"/>
      <family val="2"/>
      <scheme val="minor"/>
    </font>
    <font>
      <b/>
      <sz val="11"/>
      <color rgb="FF9999FF"/>
      <name val="Calibri"/>
      <family val="2"/>
      <scheme val="minor"/>
    </font>
    <font>
      <sz val="12"/>
      <color rgb="FF40404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242424"/>
      <name val="Times New Roman"/>
      <family val="1"/>
    </font>
    <font>
      <sz val="10"/>
      <color rgb="FF000000"/>
      <name val="Times New Roman"/>
      <family val="1"/>
      <charset val="204"/>
    </font>
    <font>
      <sz val="16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Calibri"/>
      <family val="2"/>
    </font>
    <font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AA0000"/>
      <name val="Calibri"/>
      <family val="2"/>
    </font>
    <font>
      <b/>
      <i/>
      <sz val="12"/>
      <color rgb="FF000000"/>
      <name val="Calibri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D7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2"/>
      <color rgb="FFFFFFFF"/>
      <name val="Arial"/>
      <family val="2"/>
    </font>
    <font>
      <sz val="16"/>
      <color rgb="FF3D3D3D"/>
      <name val="Arial"/>
      <family val="2"/>
    </font>
    <font>
      <sz val="16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EBF3FA"/>
        <bgColor rgb="FFF2F7FC"/>
      </patternFill>
    </fill>
    <fill>
      <patternFill patternType="solid">
        <fgColor rgb="FFFFFFFF"/>
        <bgColor rgb="FFF2F7FC"/>
      </patternFill>
    </fill>
    <fill>
      <patternFill patternType="solid">
        <fgColor rgb="FFFFF2CC"/>
        <bgColor rgb="FFF2F7FC"/>
      </patternFill>
    </fill>
    <fill>
      <patternFill patternType="solid">
        <fgColor rgb="FFF2F7FC"/>
        <bgColor rgb="FFEBF3FA"/>
      </patternFill>
    </fill>
    <fill>
      <patternFill patternType="solid">
        <fgColor rgb="FFFFFF00"/>
        <bgColor rgb="FFF2F7FC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6" tint="0.79998168889431442"/>
        <bgColor rgb="FFF2F7FC"/>
      </patternFill>
    </fill>
  </fills>
  <borders count="36">
    <border>
      <left/>
      <right/>
      <top/>
      <bottom/>
      <diagonal/>
    </border>
    <border>
      <left/>
      <right/>
      <top/>
      <bottom style="thin">
        <color rgb="FF8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7">
    <xf numFmtId="0" fontId="0" fillId="0" borderId="0"/>
    <xf numFmtId="44" fontId="8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0" fillId="0" borderId="0"/>
    <xf numFmtId="9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" fillId="0" borderId="0"/>
    <xf numFmtId="9" fontId="28" fillId="0" borderId="0" applyFont="0" applyFill="0" applyBorder="0" applyAlignment="0" applyProtection="0"/>
    <xf numFmtId="0" fontId="2" fillId="0" borderId="0"/>
    <xf numFmtId="0" fontId="39" fillId="0" borderId="0"/>
  </cellStyleXfs>
  <cellXfs count="261">
    <xf numFmtId="0" fontId="0" fillId="0" borderId="0" xfId="0" applyAlignment="1">
      <alignment horizontal="left" vertical="top"/>
    </xf>
    <xf numFmtId="43" fontId="9" fillId="0" borderId="0" xfId="4" applyFont="1" applyAlignment="1"/>
    <xf numFmtId="44" fontId="0" fillId="0" borderId="0" xfId="3" applyFont="1" applyAlignment="1"/>
    <xf numFmtId="0" fontId="13" fillId="0" borderId="0" xfId="0" applyFont="1" applyAlignment="1">
      <alignment horizontal="left" vertical="center"/>
    </xf>
    <xf numFmtId="0" fontId="10" fillId="0" borderId="0" xfId="6" applyAlignment="1">
      <alignment horizontal="left" vertical="top"/>
    </xf>
    <xf numFmtId="44" fontId="10" fillId="0" borderId="0" xfId="6" applyNumberFormat="1" applyAlignment="1">
      <alignment horizontal="left" vertical="top"/>
    </xf>
    <xf numFmtId="10" fontId="9" fillId="0" borderId="0" xfId="7" applyNumberFormat="1" applyAlignment="1">
      <alignment horizontal="right" vertical="top"/>
    </xf>
    <xf numFmtId="10" fontId="10" fillId="0" borderId="0" xfId="6" applyNumberFormat="1" applyAlignment="1">
      <alignment horizontal="left" vertical="top"/>
    </xf>
    <xf numFmtId="8" fontId="10" fillId="0" borderId="0" xfId="6" applyNumberFormat="1" applyAlignment="1">
      <alignment horizontal="left" vertical="top"/>
    </xf>
    <xf numFmtId="0" fontId="9" fillId="0" borderId="0" xfId="12"/>
    <xf numFmtId="0" fontId="2" fillId="0" borderId="0" xfId="13"/>
    <xf numFmtId="0" fontId="14" fillId="0" borderId="0" xfId="12" applyFont="1"/>
    <xf numFmtId="0" fontId="17" fillId="0" borderId="0" xfId="12" applyFont="1"/>
    <xf numFmtId="0" fontId="9" fillId="4" borderId="0" xfId="12" applyFill="1"/>
    <xf numFmtId="0" fontId="12" fillId="0" borderId="0" xfId="13" applyFont="1" applyAlignment="1">
      <alignment vertical="center" wrapText="1"/>
    </xf>
    <xf numFmtId="44" fontId="12" fillId="0" borderId="0" xfId="13" applyNumberFormat="1" applyFont="1"/>
    <xf numFmtId="43" fontId="12" fillId="0" borderId="0" xfId="13" applyNumberFormat="1" applyFont="1"/>
    <xf numFmtId="43" fontId="0" fillId="0" borderId="0" xfId="4" applyFont="1" applyAlignment="1"/>
    <xf numFmtId="10" fontId="12" fillId="0" borderId="0" xfId="13" applyNumberFormat="1" applyFont="1"/>
    <xf numFmtId="0" fontId="11" fillId="0" borderId="0" xfId="12" applyFont="1" applyAlignment="1">
      <alignment vertical="center"/>
    </xf>
    <xf numFmtId="0" fontId="18" fillId="0" borderId="10" xfId="13" applyFont="1" applyBorder="1" applyAlignment="1">
      <alignment vertical="center"/>
    </xf>
    <xf numFmtId="43" fontId="12" fillId="5" borderId="10" xfId="4" applyFont="1" applyFill="1" applyBorder="1" applyAlignment="1"/>
    <xf numFmtId="44" fontId="12" fillId="5" borderId="15" xfId="13" applyNumberFormat="1" applyFont="1" applyFill="1" applyBorder="1"/>
    <xf numFmtId="44" fontId="12" fillId="5" borderId="10" xfId="13" applyNumberFormat="1" applyFont="1" applyFill="1" applyBorder="1"/>
    <xf numFmtId="44" fontId="9" fillId="0" borderId="0" xfId="12" applyNumberFormat="1"/>
    <xf numFmtId="43" fontId="9" fillId="0" borderId="0" xfId="12" applyNumberFormat="1"/>
    <xf numFmtId="0" fontId="18" fillId="0" borderId="0" xfId="13" applyFont="1" applyAlignment="1">
      <alignment vertical="center"/>
    </xf>
    <xf numFmtId="43" fontId="12" fillId="5" borderId="0" xfId="4" applyFont="1" applyFill="1" applyAlignment="1"/>
    <xf numFmtId="44" fontId="12" fillId="5" borderId="0" xfId="13" applyNumberFormat="1" applyFont="1" applyFill="1"/>
    <xf numFmtId="0" fontId="19" fillId="3" borderId="16" xfId="12" applyFont="1" applyFill="1" applyBorder="1" applyAlignment="1">
      <alignment vertical="center"/>
    </xf>
    <xf numFmtId="0" fontId="20" fillId="3" borderId="17" xfId="12" applyFont="1" applyFill="1" applyBorder="1"/>
    <xf numFmtId="0" fontId="20" fillId="3" borderId="18" xfId="12" applyFont="1" applyFill="1" applyBorder="1"/>
    <xf numFmtId="0" fontId="14" fillId="3" borderId="10" xfId="6" applyFont="1" applyFill="1" applyBorder="1" applyAlignment="1">
      <alignment horizontal="center"/>
    </xf>
    <xf numFmtId="43" fontId="14" fillId="3" borderId="10" xfId="4" applyFont="1" applyFill="1" applyBorder="1" applyAlignment="1">
      <alignment horizontal="center"/>
    </xf>
    <xf numFmtId="8" fontId="14" fillId="3" borderId="10" xfId="6" applyNumberFormat="1" applyFont="1" applyFill="1" applyBorder="1" applyAlignment="1">
      <alignment horizontal="center"/>
    </xf>
    <xf numFmtId="0" fontId="12" fillId="0" borderId="10" xfId="13" applyFont="1" applyBorder="1" applyAlignment="1">
      <alignment vertical="center" wrapText="1"/>
    </xf>
    <xf numFmtId="43" fontId="12" fillId="5" borderId="15" xfId="13" applyNumberFormat="1" applyFont="1" applyFill="1" applyBorder="1"/>
    <xf numFmtId="0" fontId="9" fillId="0" borderId="10" xfId="12" applyBorder="1"/>
    <xf numFmtId="44" fontId="17" fillId="0" borderId="0" xfId="3" applyFont="1" applyAlignment="1"/>
    <xf numFmtId="0" fontId="17" fillId="6" borderId="0" xfId="12" applyFont="1" applyFill="1"/>
    <xf numFmtId="43" fontId="17" fillId="6" borderId="0" xfId="4" applyFont="1" applyFill="1" applyAlignment="1"/>
    <xf numFmtId="0" fontId="12" fillId="0" borderId="10" xfId="13" applyFont="1" applyBorder="1" applyAlignment="1">
      <alignment horizontal="left" vertical="center" wrapText="1"/>
    </xf>
    <xf numFmtId="44" fontId="12" fillId="0" borderId="10" xfId="13" applyNumberFormat="1" applyFont="1" applyBorder="1"/>
    <xf numFmtId="43" fontId="12" fillId="0" borderId="10" xfId="13" applyNumberFormat="1" applyFont="1" applyBorder="1"/>
    <xf numFmtId="44" fontId="12" fillId="0" borderId="15" xfId="13" applyNumberFormat="1" applyFont="1" applyBorder="1"/>
    <xf numFmtId="43" fontId="12" fillId="5" borderId="10" xfId="13" applyNumberFormat="1" applyFont="1" applyFill="1" applyBorder="1"/>
    <xf numFmtId="44" fontId="0" fillId="0" borderId="10" xfId="3" applyFont="1" applyBorder="1" applyAlignment="1"/>
    <xf numFmtId="43" fontId="0" fillId="0" borderId="10" xfId="4" applyFont="1" applyBorder="1" applyAlignment="1"/>
    <xf numFmtId="44" fontId="0" fillId="5" borderId="10" xfId="3" applyFont="1" applyFill="1" applyBorder="1" applyAlignment="1"/>
    <xf numFmtId="0" fontId="21" fillId="0" borderId="11" xfId="12" applyFont="1" applyBorder="1" applyAlignment="1">
      <alignment vertical="center"/>
    </xf>
    <xf numFmtId="44" fontId="12" fillId="0" borderId="11" xfId="13" applyNumberFormat="1" applyFont="1" applyBorder="1"/>
    <xf numFmtId="43" fontId="12" fillId="5" borderId="11" xfId="13" applyNumberFormat="1" applyFont="1" applyFill="1" applyBorder="1"/>
    <xf numFmtId="44" fontId="12" fillId="5" borderId="19" xfId="13" applyNumberFormat="1" applyFont="1" applyFill="1" applyBorder="1"/>
    <xf numFmtId="0" fontId="12" fillId="0" borderId="20" xfId="13" applyFont="1" applyBorder="1" applyAlignment="1">
      <alignment horizontal="left" vertical="top"/>
    </xf>
    <xf numFmtId="44" fontId="12" fillId="0" borderId="21" xfId="13" applyNumberFormat="1" applyFont="1" applyBorder="1"/>
    <xf numFmtId="43" fontId="12" fillId="5" borderId="21" xfId="13" applyNumberFormat="1" applyFont="1" applyFill="1" applyBorder="1"/>
    <xf numFmtId="44" fontId="12" fillId="5" borderId="22" xfId="13" applyNumberFormat="1" applyFont="1" applyFill="1" applyBorder="1"/>
    <xf numFmtId="0" fontId="21" fillId="0" borderId="23" xfId="12" applyFont="1" applyBorder="1" applyAlignment="1">
      <alignment vertical="center"/>
    </xf>
    <xf numFmtId="44" fontId="12" fillId="5" borderId="23" xfId="13" applyNumberFormat="1" applyFont="1" applyFill="1" applyBorder="1"/>
    <xf numFmtId="43" fontId="12" fillId="5" borderId="23" xfId="13" applyNumberFormat="1" applyFont="1" applyFill="1" applyBorder="1"/>
    <xf numFmtId="43" fontId="12" fillId="5" borderId="24" xfId="13" applyNumberFormat="1" applyFont="1" applyFill="1" applyBorder="1"/>
    <xf numFmtId="44" fontId="14" fillId="0" borderId="0" xfId="3" applyFont="1" applyAlignment="1"/>
    <xf numFmtId="0" fontId="21" fillId="0" borderId="14" xfId="12" applyFont="1" applyBorder="1" applyAlignment="1">
      <alignment vertical="center"/>
    </xf>
    <xf numFmtId="43" fontId="12" fillId="5" borderId="14" xfId="13" applyNumberFormat="1" applyFont="1" applyFill="1" applyBorder="1"/>
    <xf numFmtId="44" fontId="12" fillId="5" borderId="25" xfId="13" applyNumberFormat="1" applyFont="1" applyFill="1" applyBorder="1"/>
    <xf numFmtId="44" fontId="0" fillId="0" borderId="14" xfId="3" applyFont="1" applyBorder="1" applyAlignment="1"/>
    <xf numFmtId="44" fontId="18" fillId="2" borderId="14" xfId="13" applyNumberFormat="1" applyFont="1" applyFill="1" applyBorder="1" applyAlignment="1">
      <alignment horizontal="left"/>
    </xf>
    <xf numFmtId="44" fontId="12" fillId="5" borderId="11" xfId="13" applyNumberFormat="1" applyFont="1" applyFill="1" applyBorder="1"/>
    <xf numFmtId="43" fontId="12" fillId="5" borderId="19" xfId="13" applyNumberFormat="1" applyFont="1" applyFill="1" applyBorder="1"/>
    <xf numFmtId="44" fontId="0" fillId="0" borderId="11" xfId="3" applyFont="1" applyBorder="1" applyAlignment="1"/>
    <xf numFmtId="0" fontId="22" fillId="0" borderId="14" xfId="12" applyFont="1" applyBorder="1" applyAlignment="1">
      <alignment vertical="center"/>
    </xf>
    <xf numFmtId="43" fontId="12" fillId="5" borderId="25" xfId="13" applyNumberFormat="1" applyFont="1" applyFill="1" applyBorder="1"/>
    <xf numFmtId="0" fontId="23" fillId="2" borderId="20" xfId="12" applyFont="1" applyFill="1" applyBorder="1"/>
    <xf numFmtId="44" fontId="24" fillId="2" borderId="11" xfId="13" applyNumberFormat="1" applyFont="1" applyFill="1" applyBorder="1"/>
    <xf numFmtId="43" fontId="24" fillId="2" borderId="21" xfId="13" applyNumberFormat="1" applyFont="1" applyFill="1" applyBorder="1"/>
    <xf numFmtId="43" fontId="24" fillId="2" borderId="22" xfId="13" applyNumberFormat="1" applyFont="1" applyFill="1" applyBorder="1"/>
    <xf numFmtId="44" fontId="23" fillId="2" borderId="11" xfId="3" applyFont="1" applyFill="1" applyBorder="1" applyAlignment="1"/>
    <xf numFmtId="0" fontId="12" fillId="0" borderId="26" xfId="13" applyFont="1" applyBorder="1" applyAlignment="1">
      <alignment horizontal="left" vertical="center" wrapText="1"/>
    </xf>
    <xf numFmtId="43" fontId="12" fillId="5" borderId="27" xfId="13" applyNumberFormat="1" applyFont="1" applyFill="1" applyBorder="1"/>
    <xf numFmtId="43" fontId="12" fillId="5" borderId="28" xfId="13" applyNumberFormat="1" applyFont="1" applyFill="1" applyBorder="1"/>
    <xf numFmtId="0" fontId="9" fillId="0" borderId="11" xfId="12" applyBorder="1"/>
    <xf numFmtId="8" fontId="12" fillId="0" borderId="11" xfId="13" applyNumberFormat="1" applyFont="1" applyBorder="1"/>
    <xf numFmtId="44" fontId="0" fillId="7" borderId="0" xfId="3" applyFont="1" applyFill="1" applyAlignment="1"/>
    <xf numFmtId="0" fontId="9" fillId="0" borderId="13" xfId="12" applyBorder="1"/>
    <xf numFmtId="0" fontId="12" fillId="0" borderId="21" xfId="13" applyFont="1" applyBorder="1" applyAlignment="1">
      <alignment horizontal="left" vertical="top"/>
    </xf>
    <xf numFmtId="44" fontId="12" fillId="2" borderId="21" xfId="13" applyNumberFormat="1" applyFont="1" applyFill="1" applyBorder="1"/>
    <xf numFmtId="43" fontId="12" fillId="5" borderId="22" xfId="13" applyNumberFormat="1" applyFont="1" applyFill="1" applyBorder="1"/>
    <xf numFmtId="0" fontId="9" fillId="0" borderId="29" xfId="12" applyBorder="1"/>
    <xf numFmtId="0" fontId="12" fillId="0" borderId="10" xfId="13" applyFont="1" applyBorder="1" applyAlignment="1">
      <alignment horizontal="left" vertical="top"/>
    </xf>
    <xf numFmtId="44" fontId="12" fillId="2" borderId="10" xfId="13" applyNumberFormat="1" applyFont="1" applyFill="1" applyBorder="1"/>
    <xf numFmtId="0" fontId="9" fillId="0" borderId="30" xfId="12" applyBorder="1"/>
    <xf numFmtId="0" fontId="12" fillId="0" borderId="27" xfId="13" applyFont="1" applyBorder="1" applyAlignment="1">
      <alignment horizontal="left" vertical="top"/>
    </xf>
    <xf numFmtId="44" fontId="12" fillId="2" borderId="27" xfId="13" applyNumberFormat="1" applyFont="1" applyFill="1" applyBorder="1"/>
    <xf numFmtId="0" fontId="19" fillId="3" borderId="30" xfId="12" applyFont="1" applyFill="1" applyBorder="1" applyAlignment="1">
      <alignment vertical="center"/>
    </xf>
    <xf numFmtId="0" fontId="20" fillId="3" borderId="31" xfId="12" applyFont="1" applyFill="1" applyBorder="1"/>
    <xf numFmtId="0" fontId="20" fillId="3" borderId="32" xfId="12" applyFont="1" applyFill="1" applyBorder="1"/>
    <xf numFmtId="0" fontId="14" fillId="6" borderId="0" xfId="12" applyFont="1" applyFill="1"/>
    <xf numFmtId="43" fontId="14" fillId="6" borderId="0" xfId="4" applyFont="1" applyFill="1" applyAlignment="1"/>
    <xf numFmtId="0" fontId="21" fillId="0" borderId="10" xfId="12" applyFont="1" applyBorder="1" applyAlignment="1">
      <alignment vertical="center"/>
    </xf>
    <xf numFmtId="0" fontId="9" fillId="0" borderId="15" xfId="12" applyBorder="1"/>
    <xf numFmtId="0" fontId="18" fillId="0" borderId="10" xfId="13" applyFont="1" applyBorder="1" applyAlignment="1">
      <alignment vertical="center" wrapText="1"/>
    </xf>
    <xf numFmtId="0" fontId="24" fillId="0" borderId="10" xfId="13" applyFont="1" applyBorder="1" applyAlignment="1">
      <alignment vertical="center" wrapText="1"/>
    </xf>
    <xf numFmtId="44" fontId="24" fillId="0" borderId="10" xfId="13" applyNumberFormat="1" applyFont="1" applyBorder="1"/>
    <xf numFmtId="44" fontId="14" fillId="0" borderId="0" xfId="12" applyNumberFormat="1" applyFont="1"/>
    <xf numFmtId="44" fontId="9" fillId="0" borderId="12" xfId="12" applyNumberFormat="1" applyBorder="1"/>
    <xf numFmtId="164" fontId="10" fillId="0" borderId="0" xfId="6" applyNumberFormat="1" applyAlignment="1">
      <alignment horizontal="left" vertical="top"/>
    </xf>
    <xf numFmtId="44" fontId="9" fillId="8" borderId="12" xfId="12" applyNumberFormat="1" applyFill="1" applyBorder="1"/>
    <xf numFmtId="0" fontId="27" fillId="8" borderId="0" xfId="12" applyFont="1" applyFill="1"/>
    <xf numFmtId="43" fontId="12" fillId="2" borderId="10" xfId="4" applyFont="1" applyFill="1" applyBorder="1" applyAlignment="1"/>
    <xf numFmtId="39" fontId="36" fillId="2" borderId="0" xfId="6" applyNumberFormat="1" applyFont="1" applyFill="1" applyAlignment="1">
      <alignment horizontal="left" vertical="top"/>
    </xf>
    <xf numFmtId="0" fontId="8" fillId="0" borderId="0" xfId="6" applyFont="1" applyAlignment="1">
      <alignment horizontal="left" vertical="top"/>
    </xf>
    <xf numFmtId="0" fontId="1" fillId="0" borderId="10" xfId="12" applyFont="1" applyBorder="1"/>
    <xf numFmtId="0" fontId="10" fillId="0" borderId="0" xfId="6" applyAlignment="1">
      <alignment horizontal="left" wrapText="1"/>
    </xf>
    <xf numFmtId="0" fontId="10" fillId="0" borderId="0" xfId="6" applyAlignment="1">
      <alignment horizontal="left" vertical="center" wrapText="1"/>
    </xf>
    <xf numFmtId="0" fontId="0" fillId="0" borderId="0" xfId="6" applyFont="1" applyAlignment="1">
      <alignment horizontal="left" vertical="top"/>
    </xf>
    <xf numFmtId="43" fontId="1" fillId="0" borderId="0" xfId="4" applyFont="1" applyAlignment="1"/>
    <xf numFmtId="0" fontId="1" fillId="0" borderId="0" xfId="12" applyFont="1"/>
    <xf numFmtId="43" fontId="1" fillId="2" borderId="0" xfId="4" applyFont="1" applyFill="1" applyAlignment="1"/>
    <xf numFmtId="43" fontId="1" fillId="5" borderId="10" xfId="4" applyFont="1" applyFill="1" applyBorder="1" applyAlignment="1"/>
    <xf numFmtId="44" fontId="1" fillId="0" borderId="14" xfId="3" applyFont="1" applyBorder="1" applyAlignment="1"/>
    <xf numFmtId="164" fontId="1" fillId="0" borderId="0" xfId="4" applyNumberFormat="1" applyFont="1" applyAlignment="1"/>
    <xf numFmtId="10" fontId="1" fillId="0" borderId="0" xfId="7" applyNumberFormat="1" applyFont="1" applyAlignment="1"/>
    <xf numFmtId="44" fontId="1" fillId="0" borderId="0" xfId="1" applyFont="1"/>
    <xf numFmtId="43" fontId="1" fillId="8" borderId="0" xfId="4" applyFont="1" applyFill="1" applyAlignment="1"/>
    <xf numFmtId="10" fontId="1" fillId="0" borderId="0" xfId="14" applyNumberFormat="1" applyFont="1" applyAlignment="1"/>
    <xf numFmtId="44" fontId="1" fillId="0" borderId="0" xfId="3" applyFont="1" applyAlignment="1"/>
    <xf numFmtId="44" fontId="10" fillId="8" borderId="0" xfId="1" applyFont="1" applyFill="1" applyAlignment="1">
      <alignment horizontal="left" vertical="top"/>
    </xf>
    <xf numFmtId="43" fontId="9" fillId="0" borderId="10" xfId="4" applyFont="1" applyBorder="1" applyAlignment="1"/>
    <xf numFmtId="10" fontId="9" fillId="0" borderId="10" xfId="14" applyNumberFormat="1" applyFont="1" applyBorder="1" applyAlignment="1"/>
    <xf numFmtId="43" fontId="9" fillId="0" borderId="12" xfId="4" applyFont="1" applyBorder="1" applyAlignment="1"/>
    <xf numFmtId="10" fontId="9" fillId="0" borderId="12" xfId="4" applyNumberFormat="1" applyFont="1" applyBorder="1" applyAlignment="1"/>
    <xf numFmtId="43" fontId="9" fillId="8" borderId="10" xfId="4" applyFont="1" applyFill="1" applyBorder="1" applyAlignment="1"/>
    <xf numFmtId="44" fontId="10" fillId="0" borderId="10" xfId="1" applyFont="1" applyBorder="1" applyAlignment="1">
      <alignment horizontal="left" vertical="top"/>
    </xf>
    <xf numFmtId="10" fontId="10" fillId="0" borderId="10" xfId="14" applyNumberFormat="1" applyFont="1" applyBorder="1" applyAlignment="1">
      <alignment horizontal="right" vertical="top"/>
    </xf>
    <xf numFmtId="8" fontId="9" fillId="0" borderId="10" xfId="4" applyNumberFormat="1" applyFont="1" applyBorder="1" applyAlignment="1"/>
    <xf numFmtId="0" fontId="39" fillId="0" borderId="0" xfId="16"/>
    <xf numFmtId="10" fontId="42" fillId="10" borderId="33" xfId="16" applyNumberFormat="1" applyFont="1" applyFill="1" applyBorder="1" applyAlignment="1">
      <alignment horizontal="right" vertical="center"/>
    </xf>
    <xf numFmtId="165" fontId="43" fillId="10" borderId="33" xfId="16" applyNumberFormat="1" applyFont="1" applyFill="1" applyBorder="1" applyAlignment="1">
      <alignment horizontal="right" vertical="center"/>
    </xf>
    <xf numFmtId="165" fontId="43" fillId="11" borderId="33" xfId="16" applyNumberFormat="1" applyFont="1" applyFill="1" applyBorder="1" applyAlignment="1">
      <alignment horizontal="right" vertical="center"/>
    </xf>
    <xf numFmtId="0" fontId="44" fillId="12" borderId="33" xfId="16" applyFont="1" applyFill="1" applyBorder="1" applyAlignment="1">
      <alignment horizontal="left" vertical="center" wrapText="1"/>
    </xf>
    <xf numFmtId="0" fontId="45" fillId="12" borderId="33" xfId="16" applyFont="1" applyFill="1" applyBorder="1" applyAlignment="1">
      <alignment horizontal="center" vertical="center"/>
    </xf>
    <xf numFmtId="10" fontId="44" fillId="12" borderId="33" xfId="16" applyNumberFormat="1" applyFont="1" applyFill="1" applyBorder="1" applyAlignment="1">
      <alignment horizontal="center" vertical="center"/>
    </xf>
    <xf numFmtId="165" fontId="44" fillId="12" borderId="33" xfId="16" applyNumberFormat="1" applyFont="1" applyFill="1" applyBorder="1" applyAlignment="1">
      <alignment horizontal="right" vertical="center"/>
    </xf>
    <xf numFmtId="0" fontId="44" fillId="12" borderId="33" xfId="16" applyFont="1" applyFill="1" applyBorder="1" applyAlignment="1">
      <alignment horizontal="center" vertical="center"/>
    </xf>
    <xf numFmtId="0" fontId="41" fillId="12" borderId="33" xfId="16" applyFont="1" applyFill="1" applyBorder="1" applyAlignment="1">
      <alignment horizontal="center" vertical="center" wrapText="1"/>
    </xf>
    <xf numFmtId="0" fontId="44" fillId="13" borderId="33" xfId="16" applyFont="1" applyFill="1" applyBorder="1" applyAlignment="1">
      <alignment horizontal="left" vertical="center" wrapText="1"/>
    </xf>
    <xf numFmtId="0" fontId="44" fillId="13" borderId="33" xfId="16" applyFont="1" applyFill="1" applyBorder="1" applyAlignment="1">
      <alignment horizontal="center" vertical="center"/>
    </xf>
    <xf numFmtId="165" fontId="44" fillId="13" borderId="33" xfId="16" applyNumberFormat="1" applyFont="1" applyFill="1" applyBorder="1" applyAlignment="1">
      <alignment horizontal="right" vertical="center"/>
    </xf>
    <xf numFmtId="0" fontId="40" fillId="13" borderId="33" xfId="16" applyFont="1" applyFill="1" applyBorder="1" applyAlignment="1">
      <alignment horizontal="center" vertical="center" wrapText="1"/>
    </xf>
    <xf numFmtId="0" fontId="40" fillId="12" borderId="33" xfId="16" applyFont="1" applyFill="1" applyBorder="1" applyAlignment="1">
      <alignment horizontal="center" vertical="center" wrapText="1"/>
    </xf>
    <xf numFmtId="0" fontId="43" fillId="11" borderId="33" xfId="16" applyFont="1" applyFill="1" applyBorder="1" applyAlignment="1">
      <alignment horizontal="center" vertical="center" wrapText="1"/>
    </xf>
    <xf numFmtId="0" fontId="44" fillId="15" borderId="0" xfId="16" applyFont="1" applyFill="1"/>
    <xf numFmtId="0" fontId="41" fillId="15" borderId="0" xfId="16" applyFont="1" applyFill="1"/>
    <xf numFmtId="0" fontId="47" fillId="11" borderId="0" xfId="16" applyFont="1" applyFill="1" applyAlignment="1">
      <alignment horizontal="center" vertical="center"/>
    </xf>
    <xf numFmtId="9" fontId="39" fillId="0" borderId="0" xfId="14" applyFont="1"/>
    <xf numFmtId="10" fontId="39" fillId="0" borderId="0" xfId="14" applyNumberFormat="1" applyFont="1"/>
    <xf numFmtId="44" fontId="39" fillId="0" borderId="0" xfId="1" applyFont="1"/>
    <xf numFmtId="44" fontId="39" fillId="0" borderId="0" xfId="16" applyNumberFormat="1"/>
    <xf numFmtId="0" fontId="49" fillId="0" borderId="10" xfId="16" applyFont="1" applyBorder="1"/>
    <xf numFmtId="8" fontId="48" fillId="0" borderId="10" xfId="0" applyNumberFormat="1" applyFont="1" applyBorder="1" applyAlignment="1">
      <alignment horizontal="left" vertical="top"/>
    </xf>
    <xf numFmtId="0" fontId="41" fillId="16" borderId="33" xfId="16" applyFont="1" applyFill="1" applyBorder="1" applyAlignment="1">
      <alignment horizontal="center" vertical="center" wrapText="1"/>
    </xf>
    <xf numFmtId="0" fontId="44" fillId="16" borderId="33" xfId="16" applyFont="1" applyFill="1" applyBorder="1" applyAlignment="1">
      <alignment horizontal="left" vertical="center" wrapText="1"/>
    </xf>
    <xf numFmtId="0" fontId="44" fillId="16" borderId="33" xfId="16" applyFont="1" applyFill="1" applyBorder="1" applyAlignment="1">
      <alignment horizontal="center" vertical="center"/>
    </xf>
    <xf numFmtId="165" fontId="44" fillId="16" borderId="33" xfId="16" applyNumberFormat="1" applyFont="1" applyFill="1" applyBorder="1" applyAlignment="1">
      <alignment horizontal="right" vertical="center"/>
    </xf>
    <xf numFmtId="10" fontId="44" fillId="16" borderId="33" xfId="16" applyNumberFormat="1" applyFont="1" applyFill="1" applyBorder="1" applyAlignment="1">
      <alignment horizontal="center" vertical="center"/>
    </xf>
    <xf numFmtId="0" fontId="45" fillId="16" borderId="33" xfId="16" applyFont="1" applyFill="1" applyBorder="1" applyAlignment="1">
      <alignment horizontal="center" vertical="center"/>
    </xf>
    <xf numFmtId="8" fontId="39" fillId="0" borderId="0" xfId="16" applyNumberFormat="1"/>
    <xf numFmtId="0" fontId="40" fillId="16" borderId="33" xfId="16" applyFont="1" applyFill="1" applyBorder="1" applyAlignment="1">
      <alignment horizontal="center" vertical="center" wrapText="1"/>
    </xf>
    <xf numFmtId="0" fontId="50" fillId="12" borderId="33" xfId="16" applyFont="1" applyFill="1" applyBorder="1" applyAlignment="1">
      <alignment horizontal="left" vertical="center" wrapText="1"/>
    </xf>
    <xf numFmtId="0" fontId="39" fillId="0" borderId="10" xfId="16" applyBorder="1"/>
    <xf numFmtId="0" fontId="39" fillId="0" borderId="12" xfId="16" applyBorder="1"/>
    <xf numFmtId="44" fontId="39" fillId="0" borderId="10" xfId="1" applyFont="1" applyBorder="1"/>
    <xf numFmtId="44" fontId="39" fillId="0" borderId="12" xfId="16" applyNumberFormat="1" applyBorder="1"/>
    <xf numFmtId="0" fontId="39" fillId="0" borderId="11" xfId="16" applyBorder="1"/>
    <xf numFmtId="44" fontId="39" fillId="0" borderId="11" xfId="1" applyFont="1" applyBorder="1"/>
    <xf numFmtId="4" fontId="39" fillId="0" borderId="0" xfId="16" applyNumberFormat="1"/>
    <xf numFmtId="0" fontId="39" fillId="0" borderId="14" xfId="16" applyBorder="1"/>
    <xf numFmtId="44" fontId="39" fillId="0" borderId="14" xfId="1" applyFont="1" applyBorder="1"/>
    <xf numFmtId="0" fontId="39" fillId="17" borderId="16" xfId="16" applyFill="1" applyBorder="1"/>
    <xf numFmtId="0" fontId="39" fillId="17" borderId="18" xfId="16" applyFill="1" applyBorder="1"/>
    <xf numFmtId="165" fontId="43" fillId="11" borderId="35" xfId="16" applyNumberFormat="1" applyFont="1" applyFill="1" applyBorder="1" applyAlignment="1">
      <alignment horizontal="right" vertical="center"/>
    </xf>
    <xf numFmtId="8" fontId="39" fillId="0" borderId="10" xfId="16" applyNumberFormat="1" applyBorder="1"/>
    <xf numFmtId="8" fontId="51" fillId="0" borderId="12" xfId="16" applyNumberFormat="1" applyFont="1" applyBorder="1"/>
    <xf numFmtId="0" fontId="52" fillId="18" borderId="10" xfId="16" applyFont="1" applyFill="1" applyBorder="1"/>
    <xf numFmtId="44" fontId="0" fillId="0" borderId="10" xfId="1" applyFont="1" applyBorder="1"/>
    <xf numFmtId="44" fontId="39" fillId="0" borderId="12" xfId="1" applyFont="1" applyBorder="1"/>
    <xf numFmtId="0" fontId="47" fillId="11" borderId="0" xfId="16" applyFont="1" applyFill="1" applyAlignment="1">
      <alignment horizontal="left" vertical="center"/>
    </xf>
    <xf numFmtId="0" fontId="50" fillId="13" borderId="10" xfId="16" applyFont="1" applyFill="1" applyBorder="1" applyAlignment="1">
      <alignment horizontal="left" vertical="center" wrapText="1"/>
    </xf>
    <xf numFmtId="0" fontId="50" fillId="12" borderId="10" xfId="16" applyFont="1" applyFill="1" applyBorder="1" applyAlignment="1">
      <alignment horizontal="left" vertical="center" wrapText="1"/>
    </xf>
    <xf numFmtId="0" fontId="53" fillId="19" borderId="10" xfId="0" applyFont="1" applyFill="1" applyBorder="1" applyAlignment="1">
      <alignment horizontal="center" vertical="center"/>
    </xf>
    <xf numFmtId="0" fontId="43" fillId="10" borderId="33" xfId="16" applyFont="1" applyFill="1" applyBorder="1" applyAlignment="1">
      <alignment horizontal="right" vertical="center"/>
    </xf>
    <xf numFmtId="0" fontId="39" fillId="10" borderId="33" xfId="16" applyFill="1" applyBorder="1"/>
    <xf numFmtId="0" fontId="39" fillId="10" borderId="34" xfId="16" applyFill="1" applyBorder="1"/>
    <xf numFmtId="0" fontId="47" fillId="11" borderId="0" xfId="16" applyFont="1" applyFill="1" applyAlignment="1">
      <alignment horizontal="center" vertical="center"/>
    </xf>
    <xf numFmtId="0" fontId="43" fillId="10" borderId="0" xfId="16" applyFont="1" applyFill="1" applyAlignment="1">
      <alignment horizontal="center" vertical="center"/>
    </xf>
    <xf numFmtId="0" fontId="44" fillId="15" borderId="0" xfId="16" applyFont="1" applyFill="1"/>
    <xf numFmtId="0" fontId="46" fillId="14" borderId="0" xfId="16" applyFont="1" applyFill="1" applyAlignment="1">
      <alignment horizontal="center" vertical="center"/>
    </xf>
    <xf numFmtId="0" fontId="43" fillId="11" borderId="33" xfId="16" applyFont="1" applyFill="1" applyBorder="1" applyAlignment="1">
      <alignment horizontal="right" vertical="center"/>
    </xf>
    <xf numFmtId="0" fontId="39" fillId="11" borderId="33" xfId="16" applyFill="1" applyBorder="1"/>
    <xf numFmtId="0" fontId="0" fillId="0" borderId="2" xfId="6" applyFont="1" applyBorder="1" applyAlignment="1">
      <alignment horizontal="center" wrapText="1"/>
    </xf>
    <xf numFmtId="0" fontId="0" fillId="0" borderId="3" xfId="6" applyFont="1" applyBorder="1" applyAlignment="1">
      <alignment horizontal="center" wrapText="1"/>
    </xf>
    <xf numFmtId="0" fontId="10" fillId="0" borderId="4" xfId="6" applyBorder="1" applyAlignment="1">
      <alignment horizontal="left" wrapText="1"/>
    </xf>
    <xf numFmtId="0" fontId="10" fillId="0" borderId="5" xfId="6" applyBorder="1" applyAlignment="1">
      <alignment horizontal="left" wrapText="1"/>
    </xf>
    <xf numFmtId="0" fontId="10" fillId="0" borderId="6" xfId="6" applyBorder="1" applyAlignment="1">
      <alignment horizontal="left" wrapText="1"/>
    </xf>
    <xf numFmtId="0" fontId="10" fillId="0" borderId="7" xfId="6" applyBorder="1" applyAlignment="1">
      <alignment horizontal="left" wrapText="1"/>
    </xf>
    <xf numFmtId="0" fontId="10" fillId="0" borderId="4" xfId="6" applyBorder="1" applyAlignment="1">
      <alignment horizontal="center" vertical="center" wrapText="1"/>
    </xf>
    <xf numFmtId="0" fontId="10" fillId="0" borderId="5" xfId="6" applyBorder="1" applyAlignment="1">
      <alignment horizontal="center" vertical="center" wrapText="1"/>
    </xf>
    <xf numFmtId="0" fontId="10" fillId="0" borderId="6" xfId="6" applyBorder="1" applyAlignment="1">
      <alignment horizontal="center" vertical="center" wrapText="1"/>
    </xf>
    <xf numFmtId="0" fontId="10" fillId="0" borderId="7" xfId="6" applyBorder="1" applyAlignment="1">
      <alignment horizontal="center" vertical="center" wrapText="1"/>
    </xf>
    <xf numFmtId="164" fontId="10" fillId="0" borderId="8" xfId="6" applyNumberFormat="1" applyBorder="1" applyAlignment="1">
      <alignment horizontal="right" vertical="center" wrapText="1"/>
    </xf>
    <xf numFmtId="164" fontId="10" fillId="0" borderId="9" xfId="6" applyNumberFormat="1" applyBorder="1" applyAlignment="1">
      <alignment horizontal="right" vertical="center" wrapText="1"/>
    </xf>
    <xf numFmtId="10" fontId="0" fillId="0" borderId="4" xfId="7" applyNumberFormat="1" applyFont="1" applyBorder="1" applyAlignment="1">
      <alignment horizontal="right" vertical="center" wrapText="1"/>
    </xf>
    <xf numFmtId="10" fontId="0" fillId="0" borderId="5" xfId="7" applyNumberFormat="1" applyFont="1" applyBorder="1" applyAlignment="1">
      <alignment horizontal="right" vertical="center" wrapText="1"/>
    </xf>
    <xf numFmtId="10" fontId="0" fillId="0" borderId="6" xfId="7" applyNumberFormat="1" applyFont="1" applyBorder="1" applyAlignment="1">
      <alignment horizontal="right" vertical="center" wrapText="1"/>
    </xf>
    <xf numFmtId="10" fontId="0" fillId="0" borderId="7" xfId="7" applyNumberFormat="1" applyFont="1" applyBorder="1" applyAlignment="1">
      <alignment horizontal="right" vertical="center" wrapText="1"/>
    </xf>
    <xf numFmtId="0" fontId="10" fillId="0" borderId="0" xfId="6" applyAlignment="1">
      <alignment horizontal="left" wrapText="1"/>
    </xf>
    <xf numFmtId="0" fontId="10" fillId="0" borderId="2" xfId="6" applyBorder="1" applyAlignment="1">
      <alignment horizontal="center" wrapText="1"/>
    </xf>
    <xf numFmtId="0" fontId="10" fillId="0" borderId="3" xfId="6" applyBorder="1" applyAlignment="1">
      <alignment horizontal="center" wrapText="1"/>
    </xf>
    <xf numFmtId="0" fontId="15" fillId="0" borderId="0" xfId="6" applyFont="1" applyAlignment="1">
      <alignment horizontal="left" vertical="top" wrapText="1" indent="2"/>
    </xf>
    <xf numFmtId="0" fontId="16" fillId="0" borderId="0" xfId="6" applyFont="1" applyAlignment="1">
      <alignment horizontal="left" vertical="top" wrapText="1" indent="2"/>
    </xf>
    <xf numFmtId="0" fontId="3" fillId="0" borderId="0" xfId="6" applyFont="1" applyAlignment="1">
      <alignment horizontal="left" vertical="top" wrapText="1"/>
    </xf>
    <xf numFmtId="0" fontId="10" fillId="0" borderId="2" xfId="6" applyBorder="1" applyAlignment="1">
      <alignment horizontal="left" wrapText="1"/>
    </xf>
    <xf numFmtId="0" fontId="10" fillId="0" borderId="3" xfId="6" applyBorder="1" applyAlignment="1">
      <alignment horizontal="left" wrapText="1"/>
    </xf>
    <xf numFmtId="0" fontId="10" fillId="0" borderId="4" xfId="6" applyBorder="1" applyAlignment="1">
      <alignment horizontal="left" vertical="center" wrapText="1"/>
    </xf>
    <xf numFmtId="0" fontId="10" fillId="0" borderId="5" xfId="6" applyBorder="1" applyAlignment="1">
      <alignment horizontal="left" vertical="center" wrapText="1"/>
    </xf>
    <xf numFmtId="0" fontId="10" fillId="0" borderId="6" xfId="6" applyBorder="1" applyAlignment="1">
      <alignment horizontal="left" vertical="center" wrapText="1"/>
    </xf>
    <xf numFmtId="0" fontId="10" fillId="0" borderId="7" xfId="6" applyBorder="1" applyAlignment="1">
      <alignment horizontal="left" vertical="center" wrapText="1"/>
    </xf>
    <xf numFmtId="43" fontId="0" fillId="0" borderId="8" xfId="6" applyNumberFormat="1" applyFont="1" applyBorder="1" applyAlignment="1">
      <alignment horizontal="right" vertical="center" wrapText="1"/>
    </xf>
    <xf numFmtId="8" fontId="10" fillId="0" borderId="9" xfId="6" applyNumberFormat="1" applyBorder="1" applyAlignment="1">
      <alignment horizontal="right" vertical="center" wrapText="1"/>
    </xf>
    <xf numFmtId="0" fontId="10" fillId="0" borderId="2" xfId="6" applyBorder="1" applyAlignment="1">
      <alignment horizontal="center" vertical="top" wrapText="1"/>
    </xf>
    <xf numFmtId="0" fontId="10" fillId="0" borderId="3" xfId="6" applyBorder="1" applyAlignment="1">
      <alignment horizontal="center" vertical="top" wrapText="1"/>
    </xf>
    <xf numFmtId="0" fontId="4" fillId="0" borderId="4" xfId="6" applyFont="1" applyBorder="1" applyAlignment="1">
      <alignment horizontal="center" vertical="top" wrapText="1" indent="9"/>
    </xf>
    <xf numFmtId="0" fontId="10" fillId="0" borderId="5" xfId="6" applyBorder="1" applyAlignment="1">
      <alignment horizontal="center" vertical="top" wrapText="1" indent="9"/>
    </xf>
    <xf numFmtId="0" fontId="10" fillId="0" borderId="6" xfId="6" applyBorder="1" applyAlignment="1">
      <alignment horizontal="center" vertical="top" wrapText="1" indent="9"/>
    </xf>
    <xf numFmtId="0" fontId="10" fillId="0" borderId="7" xfId="6" applyBorder="1" applyAlignment="1">
      <alignment horizontal="center" vertical="top" wrapText="1" indent="9"/>
    </xf>
    <xf numFmtId="0" fontId="10" fillId="0" borderId="4" xfId="6" applyBorder="1" applyAlignment="1">
      <alignment horizontal="center" vertical="top" wrapText="1"/>
    </xf>
    <xf numFmtId="0" fontId="10" fillId="0" borderId="5" xfId="6" applyBorder="1" applyAlignment="1">
      <alignment horizontal="center" vertical="top" wrapText="1"/>
    </xf>
    <xf numFmtId="0" fontId="10" fillId="0" borderId="6" xfId="6" applyBorder="1" applyAlignment="1">
      <alignment horizontal="center" vertical="top" wrapText="1"/>
    </xf>
    <xf numFmtId="0" fontId="10" fillId="0" borderId="7" xfId="6" applyBorder="1" applyAlignment="1">
      <alignment horizontal="center" vertical="top" wrapText="1"/>
    </xf>
    <xf numFmtId="0" fontId="4" fillId="0" borderId="8" xfId="6" applyFont="1" applyBorder="1" applyAlignment="1">
      <alignment horizontal="center" vertical="top" wrapText="1"/>
    </xf>
    <xf numFmtId="0" fontId="4" fillId="0" borderId="9" xfId="6" applyFont="1" applyBorder="1" applyAlignment="1">
      <alignment horizontal="center" vertical="top" wrapText="1"/>
    </xf>
    <xf numFmtId="0" fontId="10" fillId="0" borderId="0" xfId="6" applyAlignment="1">
      <alignment horizontal="left" vertical="center" wrapText="1"/>
    </xf>
    <xf numFmtId="0" fontId="4" fillId="0" borderId="2" xfId="6" applyFont="1" applyBorder="1" applyAlignment="1">
      <alignment horizontal="left" vertical="top" wrapText="1" indent="2"/>
    </xf>
    <xf numFmtId="0" fontId="4" fillId="0" borderId="3" xfId="6" applyFont="1" applyBorder="1" applyAlignment="1">
      <alignment horizontal="left" vertical="top" wrapText="1" indent="2"/>
    </xf>
    <xf numFmtId="0" fontId="8" fillId="0" borderId="4" xfId="6" applyFont="1" applyBorder="1" applyAlignment="1">
      <alignment horizontal="left" vertical="center" wrapText="1"/>
    </xf>
    <xf numFmtId="164" fontId="10" fillId="0" borderId="8" xfId="6" applyNumberFormat="1" applyBorder="1" applyAlignment="1">
      <alignment vertical="center" wrapText="1"/>
    </xf>
    <xf numFmtId="39" fontId="8" fillId="0" borderId="2" xfId="6" applyNumberFormat="1" applyFont="1" applyBorder="1" applyAlignment="1">
      <alignment horizontal="center" wrapText="1"/>
    </xf>
    <xf numFmtId="0" fontId="15" fillId="0" borderId="0" xfId="6" applyFont="1" applyAlignment="1">
      <alignment horizontal="left" vertical="top" wrapText="1"/>
    </xf>
    <xf numFmtId="0" fontId="37" fillId="9" borderId="4" xfId="6" applyFont="1" applyFill="1" applyBorder="1" applyAlignment="1">
      <alignment horizontal="left" vertical="center" wrapText="1"/>
    </xf>
    <xf numFmtId="0" fontId="37" fillId="9" borderId="4" xfId="6" applyFont="1" applyFill="1" applyBorder="1" applyAlignment="1">
      <alignment horizontal="center" vertical="center" wrapText="1"/>
    </xf>
    <xf numFmtId="164" fontId="38" fillId="9" borderId="8" xfId="6" applyNumberFormat="1" applyFont="1" applyFill="1" applyBorder="1" applyAlignment="1">
      <alignment vertical="center" wrapText="1"/>
    </xf>
    <xf numFmtId="164" fontId="25" fillId="9" borderId="8" xfId="6" applyNumberFormat="1" applyFont="1" applyFill="1" applyBorder="1" applyAlignment="1">
      <alignment vertical="center" wrapText="1"/>
    </xf>
    <xf numFmtId="0" fontId="10" fillId="0" borderId="1" xfId="6" applyBorder="1" applyAlignment="1">
      <alignment horizontal="left" wrapText="1"/>
    </xf>
    <xf numFmtId="0" fontId="10" fillId="0" borderId="4" xfId="6" applyBorder="1" applyAlignment="1">
      <alignment horizontal="center" vertical="top" wrapText="1" indent="9"/>
    </xf>
    <xf numFmtId="164" fontId="10" fillId="0" borderId="9" xfId="6" applyNumberFormat="1" applyBorder="1" applyAlignment="1">
      <alignment vertical="center" wrapText="1"/>
    </xf>
    <xf numFmtId="0" fontId="26" fillId="0" borderId="4" xfId="6" applyFont="1" applyBorder="1" applyAlignment="1">
      <alignment horizontal="left" vertical="center" wrapText="1"/>
    </xf>
    <xf numFmtId="0" fontId="41" fillId="20" borderId="33" xfId="16" applyFont="1" applyFill="1" applyBorder="1" applyAlignment="1">
      <alignment horizontal="center" vertical="center" wrapText="1"/>
    </xf>
    <xf numFmtId="0" fontId="44" fillId="20" borderId="33" xfId="16" applyFont="1" applyFill="1" applyBorder="1" applyAlignment="1">
      <alignment horizontal="left" vertical="center" wrapText="1"/>
    </xf>
    <xf numFmtId="0" fontId="44" fillId="20" borderId="33" xfId="16" applyFont="1" applyFill="1" applyBorder="1" applyAlignment="1">
      <alignment horizontal="center" vertical="center"/>
    </xf>
    <xf numFmtId="165" fontId="44" fillId="20" borderId="33" xfId="16" applyNumberFormat="1" applyFont="1" applyFill="1" applyBorder="1" applyAlignment="1">
      <alignment horizontal="right" vertical="center"/>
    </xf>
    <xf numFmtId="0" fontId="45" fillId="20" borderId="33" xfId="16" applyFont="1" applyFill="1" applyBorder="1" applyAlignment="1">
      <alignment horizontal="center" vertical="center"/>
    </xf>
  </cellXfs>
  <cellStyles count="17">
    <cellStyle name="Comma 2" xfId="4" xr:uid="{164F1E87-D849-4FE7-88CF-4341B430E387}"/>
    <cellStyle name="Currency" xfId="1" builtinId="4"/>
    <cellStyle name="Currency 2" xfId="3" xr:uid="{1CF2DF10-AB60-4003-A474-F2DEF4F16B7D}"/>
    <cellStyle name="Currency 3" xfId="8" xr:uid="{C7C37EED-AC31-46EA-BCA3-866307D66908}"/>
    <cellStyle name="Normal" xfId="0" builtinId="0"/>
    <cellStyle name="Normal 2" xfId="6" xr:uid="{5C885751-BC9F-4C1A-A2DF-19CDA5DC7759}"/>
    <cellStyle name="Normal 2 2 2" xfId="15" xr:uid="{AB4AE81F-5E0F-48EF-8BD8-4FA992D93BEB}"/>
    <cellStyle name="Normal 3" xfId="2" xr:uid="{F97F8D87-EE82-4DF8-B420-B6475F6DE30A}"/>
    <cellStyle name="Normal 4" xfId="10" xr:uid="{27E12198-6D57-4430-8AF7-4480C99373D1}"/>
    <cellStyle name="Normal 5" xfId="5" xr:uid="{88B03C98-5775-435B-B1EB-0CB5356B7B4D}"/>
    <cellStyle name="Normal 6" xfId="12" xr:uid="{96205D7A-C195-4A24-A4FA-E9EEF6F2B434}"/>
    <cellStyle name="Normal 7" xfId="11" xr:uid="{91E82B2F-DD01-48A9-9123-3605CB63F68E}"/>
    <cellStyle name="Normal 8" xfId="13" xr:uid="{53A4CF16-7855-4907-BDAA-5B2372BCEB82}"/>
    <cellStyle name="Normal 9" xfId="16" xr:uid="{5825B6BC-37B6-4B04-A549-79E6B2CE2917}"/>
    <cellStyle name="Percent" xfId="14" builtinId="5"/>
    <cellStyle name="Percent 2" xfId="7" xr:uid="{44EA0394-0E75-4BE9-AFC8-74BDA40C8A31}"/>
    <cellStyle name="Percent 3" xfId="9" xr:uid="{2FABF86E-9C55-4085-864F-D876CFA613FE}"/>
  </cellStyles>
  <dxfs count="2"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25273</xdr:rowOff>
    </xdr:from>
    <xdr:to>
      <xdr:col>2</xdr:col>
      <xdr:colOff>217932</xdr:colOff>
      <xdr:row>1</xdr:row>
      <xdr:rowOff>378471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CCBEA-5859-4A62-A815-5A8E5250F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25298"/>
          <a:ext cx="484632" cy="353198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1</xdr:row>
      <xdr:rowOff>447675</xdr:rowOff>
    </xdr:from>
    <xdr:to>
      <xdr:col>8</xdr:col>
      <xdr:colOff>139700</xdr:colOff>
      <xdr:row>1</xdr:row>
      <xdr:rowOff>542925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15BF9A3A-0920-47BF-82CA-CAFBAC823C8C}"/>
            </a:ext>
            <a:ext uri="{147F2762-F138-4A5C-976F-8EAC2B608ADB}">
              <a16:predDERef xmlns:a16="http://schemas.microsoft.com/office/drawing/2014/main" pred="{AA2CCBEA-5859-4A62-A815-5A8E5250F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644525"/>
          <a:ext cx="5638800" cy="95250"/>
        </a:xfrm>
        <a:prstGeom prst="rect">
          <a:avLst/>
        </a:prstGeom>
      </xdr:spPr>
    </xdr:pic>
    <xdr:clientData/>
  </xdr:twoCellAnchor>
  <xdr:oneCellAnchor>
    <xdr:from>
      <xdr:col>0</xdr:col>
      <xdr:colOff>47625</xdr:colOff>
      <xdr:row>22</xdr:row>
      <xdr:rowOff>25273</xdr:rowOff>
    </xdr:from>
    <xdr:ext cx="484632" cy="353198"/>
    <xdr:pic>
      <xdr:nvPicPr>
        <xdr:cNvPr id="16" name="Picture 1">
          <a:extLst>
            <a:ext uri="{FF2B5EF4-FFF2-40B4-BE49-F238E27FC236}">
              <a16:creationId xmlns:a16="http://schemas.microsoft.com/office/drawing/2014/main" id="{3E0C344E-84A7-4F9E-8F20-50E438EB92EC}"/>
            </a:ext>
            <a:ext uri="{147F2762-F138-4A5C-976F-8EAC2B608ADB}">
              <a16:predDERef xmlns:a16="http://schemas.microsoft.com/office/drawing/2014/main" pred="{C4559050-ED8C-401B-B539-4C299E2D3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25298"/>
          <a:ext cx="484632" cy="353198"/>
        </a:xfrm>
        <a:prstGeom prst="rect">
          <a:avLst/>
        </a:prstGeom>
      </xdr:spPr>
    </xdr:pic>
    <xdr:clientData/>
  </xdr:oneCellAnchor>
  <xdr:oneCellAnchor>
    <xdr:from>
      <xdr:col>2</xdr:col>
      <xdr:colOff>549310</xdr:colOff>
      <xdr:row>22</xdr:row>
      <xdr:rowOff>648686</xdr:rowOff>
    </xdr:from>
    <xdr:ext cx="5501488" cy="101495"/>
    <xdr:pic>
      <xdr:nvPicPr>
        <xdr:cNvPr id="15" name="Picture 2">
          <a:extLst>
            <a:ext uri="{FF2B5EF4-FFF2-40B4-BE49-F238E27FC236}">
              <a16:creationId xmlns:a16="http://schemas.microsoft.com/office/drawing/2014/main" id="{55688D7A-154B-4BBC-90C6-9282B505CF0E}"/>
            </a:ext>
            <a:ext uri="{147F2762-F138-4A5C-976F-8EAC2B608ADB}">
              <a16:predDERef xmlns:a16="http://schemas.microsoft.com/office/drawing/2014/main" pred="{3E0C344E-84A7-4F9E-8F20-50E438EB9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35" y="848711"/>
          <a:ext cx="5501488" cy="101495"/>
        </a:xfrm>
        <a:prstGeom prst="rect">
          <a:avLst/>
        </a:prstGeom>
      </xdr:spPr>
    </xdr:pic>
    <xdr:clientData/>
  </xdr:oneCellAnchor>
  <xdr:twoCellAnchor>
    <xdr:from>
      <xdr:col>1</xdr:col>
      <xdr:colOff>58964</xdr:colOff>
      <xdr:row>20</xdr:row>
      <xdr:rowOff>0</xdr:rowOff>
    </xdr:from>
    <xdr:to>
      <xdr:col>1</xdr:col>
      <xdr:colOff>114208</xdr:colOff>
      <xdr:row>20</xdr:row>
      <xdr:rowOff>55244</xdr:rowOff>
    </xdr:to>
    <xdr:sp macro="" textlink="">
      <xdr:nvSpPr>
        <xdr:cNvPr id="23" name="Freeform: Shape 3">
          <a:extLst>
            <a:ext uri="{FF2B5EF4-FFF2-40B4-BE49-F238E27FC236}">
              <a16:creationId xmlns:a16="http://schemas.microsoft.com/office/drawing/2014/main" id="{50389DA7-9A8B-411B-9A54-0C8D929D2421}"/>
            </a:ext>
            <a:ext uri="{147F2762-F138-4A5C-976F-8EAC2B608ADB}">
              <a16:predDERef xmlns:a16="http://schemas.microsoft.com/office/drawing/2014/main" pred="{15BF9A3A-0920-47BF-82CA-CAFBAC823C8C}"/>
            </a:ext>
          </a:extLst>
        </xdr:cNvPr>
        <xdr:cNvSpPr/>
      </xdr:nvSpPr>
      <xdr:spPr>
        <a:xfrm>
          <a:off x="182789" y="8772525"/>
          <a:ext cx="55244" cy="55244"/>
        </a:xfrm>
        <a:custGeom>
          <a:avLst/>
          <a:gdLst/>
          <a:ahLst/>
          <a:cxnLst/>
          <a:rect l="0" t="0" r="0" b="0"/>
          <a:pathLst>
            <a:path w="55244" h="55244">
              <a:moveTo>
                <a:pt x="35051" y="54864"/>
              </a:moveTo>
              <a:lnTo>
                <a:pt x="19811" y="54864"/>
              </a:lnTo>
              <a:lnTo>
                <a:pt x="13715" y="51816"/>
              </a:lnTo>
              <a:lnTo>
                <a:pt x="3047" y="41148"/>
              </a:lnTo>
              <a:lnTo>
                <a:pt x="0" y="35052"/>
              </a:lnTo>
              <a:lnTo>
                <a:pt x="0" y="19812"/>
              </a:lnTo>
              <a:lnTo>
                <a:pt x="3047" y="12192"/>
              </a:lnTo>
              <a:lnTo>
                <a:pt x="13715" y="1524"/>
              </a:lnTo>
              <a:lnTo>
                <a:pt x="19811" y="0"/>
              </a:lnTo>
              <a:lnTo>
                <a:pt x="35051" y="0"/>
              </a:lnTo>
              <a:lnTo>
                <a:pt x="41147" y="1524"/>
              </a:lnTo>
              <a:lnTo>
                <a:pt x="47243" y="7620"/>
              </a:lnTo>
              <a:lnTo>
                <a:pt x="51815" y="12192"/>
              </a:lnTo>
              <a:lnTo>
                <a:pt x="54863" y="19812"/>
              </a:lnTo>
              <a:lnTo>
                <a:pt x="54863" y="35052"/>
              </a:lnTo>
              <a:lnTo>
                <a:pt x="51815" y="41148"/>
              </a:lnTo>
              <a:lnTo>
                <a:pt x="41147" y="51816"/>
              </a:lnTo>
              <a:lnTo>
                <a:pt x="35051" y="54864"/>
              </a:lnTo>
              <a:close/>
            </a:path>
          </a:pathLst>
        </a:custGeom>
        <a:solidFill>
          <a:srgbClr val="000000"/>
        </a:solidFill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</xdr:col>
      <xdr:colOff>58964</xdr:colOff>
      <xdr:row>20</xdr:row>
      <xdr:rowOff>0</xdr:rowOff>
    </xdr:from>
    <xdr:to>
      <xdr:col>1</xdr:col>
      <xdr:colOff>114208</xdr:colOff>
      <xdr:row>20</xdr:row>
      <xdr:rowOff>55244</xdr:rowOff>
    </xdr:to>
    <xdr:sp macro="" textlink="">
      <xdr:nvSpPr>
        <xdr:cNvPr id="22" name="Freeform: Shape 4">
          <a:extLst>
            <a:ext uri="{FF2B5EF4-FFF2-40B4-BE49-F238E27FC236}">
              <a16:creationId xmlns:a16="http://schemas.microsoft.com/office/drawing/2014/main" id="{5D869A63-BE2F-4EFB-884D-61C62DD507F3}"/>
            </a:ext>
            <a:ext uri="{147F2762-F138-4A5C-976F-8EAC2B608ADB}">
              <a16:predDERef xmlns:a16="http://schemas.microsoft.com/office/drawing/2014/main" pred="{50389DA7-9A8B-411B-9A54-0C8D929D2421}"/>
            </a:ext>
          </a:extLst>
        </xdr:cNvPr>
        <xdr:cNvSpPr/>
      </xdr:nvSpPr>
      <xdr:spPr>
        <a:xfrm>
          <a:off x="182789" y="8772525"/>
          <a:ext cx="55244" cy="55244"/>
        </a:xfrm>
        <a:custGeom>
          <a:avLst/>
          <a:gdLst/>
          <a:ahLst/>
          <a:cxnLst/>
          <a:rect l="0" t="0" r="0" b="0"/>
          <a:pathLst>
            <a:path w="55244" h="55244">
              <a:moveTo>
                <a:pt x="35051" y="54864"/>
              </a:moveTo>
              <a:lnTo>
                <a:pt x="19811" y="54864"/>
              </a:lnTo>
              <a:lnTo>
                <a:pt x="13715" y="51816"/>
              </a:lnTo>
              <a:lnTo>
                <a:pt x="3047" y="41148"/>
              </a:lnTo>
              <a:lnTo>
                <a:pt x="0" y="35052"/>
              </a:lnTo>
              <a:lnTo>
                <a:pt x="0" y="19812"/>
              </a:lnTo>
              <a:lnTo>
                <a:pt x="3047" y="12192"/>
              </a:lnTo>
              <a:lnTo>
                <a:pt x="13715" y="1524"/>
              </a:lnTo>
              <a:lnTo>
                <a:pt x="19811" y="0"/>
              </a:lnTo>
              <a:lnTo>
                <a:pt x="35051" y="0"/>
              </a:lnTo>
              <a:lnTo>
                <a:pt x="41147" y="1524"/>
              </a:lnTo>
              <a:lnTo>
                <a:pt x="47243" y="7620"/>
              </a:lnTo>
              <a:lnTo>
                <a:pt x="51815" y="12192"/>
              </a:lnTo>
              <a:lnTo>
                <a:pt x="54863" y="19812"/>
              </a:lnTo>
              <a:lnTo>
                <a:pt x="54863" y="35052"/>
              </a:lnTo>
              <a:lnTo>
                <a:pt x="51815" y="41148"/>
              </a:lnTo>
              <a:lnTo>
                <a:pt x="41147" y="51816"/>
              </a:lnTo>
              <a:lnTo>
                <a:pt x="35051" y="54864"/>
              </a:lnTo>
              <a:close/>
            </a:path>
          </a:pathLst>
        </a:custGeom>
        <a:solidFill>
          <a:srgbClr val="000000"/>
        </a:solidFill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</xdr:col>
      <xdr:colOff>58964</xdr:colOff>
      <xdr:row>20</xdr:row>
      <xdr:rowOff>0</xdr:rowOff>
    </xdr:from>
    <xdr:to>
      <xdr:col>1</xdr:col>
      <xdr:colOff>114208</xdr:colOff>
      <xdr:row>20</xdr:row>
      <xdr:rowOff>55244</xdr:rowOff>
    </xdr:to>
    <xdr:sp macro="" textlink="">
      <xdr:nvSpPr>
        <xdr:cNvPr id="21" name="Freeform: Shape 5">
          <a:extLst>
            <a:ext uri="{FF2B5EF4-FFF2-40B4-BE49-F238E27FC236}">
              <a16:creationId xmlns:a16="http://schemas.microsoft.com/office/drawing/2014/main" id="{E95B9108-D890-4170-BBE5-AC698EBC51B3}"/>
            </a:ext>
            <a:ext uri="{147F2762-F138-4A5C-976F-8EAC2B608ADB}">
              <a16:predDERef xmlns:a16="http://schemas.microsoft.com/office/drawing/2014/main" pred="{5D869A63-BE2F-4EFB-884D-61C62DD507F3}"/>
            </a:ext>
          </a:extLst>
        </xdr:cNvPr>
        <xdr:cNvSpPr/>
      </xdr:nvSpPr>
      <xdr:spPr>
        <a:xfrm>
          <a:off x="182789" y="8772525"/>
          <a:ext cx="55244" cy="55244"/>
        </a:xfrm>
        <a:custGeom>
          <a:avLst/>
          <a:gdLst/>
          <a:ahLst/>
          <a:cxnLst/>
          <a:rect l="0" t="0" r="0" b="0"/>
          <a:pathLst>
            <a:path w="55244" h="55244">
              <a:moveTo>
                <a:pt x="35051" y="54864"/>
              </a:moveTo>
              <a:lnTo>
                <a:pt x="19811" y="54864"/>
              </a:lnTo>
              <a:lnTo>
                <a:pt x="13715" y="51816"/>
              </a:lnTo>
              <a:lnTo>
                <a:pt x="3047" y="41148"/>
              </a:lnTo>
              <a:lnTo>
                <a:pt x="0" y="35052"/>
              </a:lnTo>
              <a:lnTo>
                <a:pt x="0" y="19812"/>
              </a:lnTo>
              <a:lnTo>
                <a:pt x="3047" y="12192"/>
              </a:lnTo>
              <a:lnTo>
                <a:pt x="13715" y="1524"/>
              </a:lnTo>
              <a:lnTo>
                <a:pt x="19811" y="0"/>
              </a:lnTo>
              <a:lnTo>
                <a:pt x="35051" y="0"/>
              </a:lnTo>
              <a:lnTo>
                <a:pt x="41147" y="1524"/>
              </a:lnTo>
              <a:lnTo>
                <a:pt x="47243" y="7620"/>
              </a:lnTo>
              <a:lnTo>
                <a:pt x="51815" y="12192"/>
              </a:lnTo>
              <a:lnTo>
                <a:pt x="54863" y="19812"/>
              </a:lnTo>
              <a:lnTo>
                <a:pt x="54863" y="35052"/>
              </a:lnTo>
              <a:lnTo>
                <a:pt x="51815" y="41148"/>
              </a:lnTo>
              <a:lnTo>
                <a:pt x="41147" y="51816"/>
              </a:lnTo>
              <a:lnTo>
                <a:pt x="35051" y="54864"/>
              </a:lnTo>
              <a:close/>
            </a:path>
          </a:pathLst>
        </a:custGeom>
        <a:solidFill>
          <a:srgbClr val="000000"/>
        </a:solidFill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</xdr:col>
      <xdr:colOff>58964</xdr:colOff>
      <xdr:row>20</xdr:row>
      <xdr:rowOff>0</xdr:rowOff>
    </xdr:from>
    <xdr:to>
      <xdr:col>1</xdr:col>
      <xdr:colOff>114208</xdr:colOff>
      <xdr:row>20</xdr:row>
      <xdr:rowOff>55244</xdr:rowOff>
    </xdr:to>
    <xdr:sp macro="" textlink="">
      <xdr:nvSpPr>
        <xdr:cNvPr id="20" name="Freeform: Shape 6">
          <a:extLst>
            <a:ext uri="{FF2B5EF4-FFF2-40B4-BE49-F238E27FC236}">
              <a16:creationId xmlns:a16="http://schemas.microsoft.com/office/drawing/2014/main" id="{5A411EAE-EC48-46A5-ABDD-3EB2E863C2C6}"/>
            </a:ext>
            <a:ext uri="{147F2762-F138-4A5C-976F-8EAC2B608ADB}">
              <a16:predDERef xmlns:a16="http://schemas.microsoft.com/office/drawing/2014/main" pred="{E95B9108-D890-4170-BBE5-AC698EBC51B3}"/>
            </a:ext>
          </a:extLst>
        </xdr:cNvPr>
        <xdr:cNvSpPr/>
      </xdr:nvSpPr>
      <xdr:spPr>
        <a:xfrm>
          <a:off x="182789" y="8772525"/>
          <a:ext cx="55244" cy="55244"/>
        </a:xfrm>
        <a:custGeom>
          <a:avLst/>
          <a:gdLst/>
          <a:ahLst/>
          <a:cxnLst/>
          <a:rect l="0" t="0" r="0" b="0"/>
          <a:pathLst>
            <a:path w="55244" h="55244">
              <a:moveTo>
                <a:pt x="35051" y="54864"/>
              </a:moveTo>
              <a:lnTo>
                <a:pt x="19811" y="54864"/>
              </a:lnTo>
              <a:lnTo>
                <a:pt x="13715" y="51816"/>
              </a:lnTo>
              <a:lnTo>
                <a:pt x="3047" y="41148"/>
              </a:lnTo>
              <a:lnTo>
                <a:pt x="0" y="35052"/>
              </a:lnTo>
              <a:lnTo>
                <a:pt x="0" y="19812"/>
              </a:lnTo>
              <a:lnTo>
                <a:pt x="3047" y="12192"/>
              </a:lnTo>
              <a:lnTo>
                <a:pt x="13715" y="1524"/>
              </a:lnTo>
              <a:lnTo>
                <a:pt x="19811" y="0"/>
              </a:lnTo>
              <a:lnTo>
                <a:pt x="35051" y="0"/>
              </a:lnTo>
              <a:lnTo>
                <a:pt x="41147" y="1524"/>
              </a:lnTo>
              <a:lnTo>
                <a:pt x="47243" y="7620"/>
              </a:lnTo>
              <a:lnTo>
                <a:pt x="51815" y="12192"/>
              </a:lnTo>
              <a:lnTo>
                <a:pt x="54863" y="19812"/>
              </a:lnTo>
              <a:lnTo>
                <a:pt x="54863" y="35052"/>
              </a:lnTo>
              <a:lnTo>
                <a:pt x="51815" y="41148"/>
              </a:lnTo>
              <a:lnTo>
                <a:pt x="41147" y="51816"/>
              </a:lnTo>
              <a:lnTo>
                <a:pt x="35051" y="54864"/>
              </a:lnTo>
              <a:close/>
            </a:path>
          </a:pathLst>
        </a:custGeom>
        <a:solidFill>
          <a:srgbClr val="000000"/>
        </a:solidFill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</xdr:col>
      <xdr:colOff>58964</xdr:colOff>
      <xdr:row>20</xdr:row>
      <xdr:rowOff>0</xdr:rowOff>
    </xdr:from>
    <xdr:to>
      <xdr:col>1</xdr:col>
      <xdr:colOff>114208</xdr:colOff>
      <xdr:row>20</xdr:row>
      <xdr:rowOff>55244</xdr:rowOff>
    </xdr:to>
    <xdr:sp macro="" textlink="">
      <xdr:nvSpPr>
        <xdr:cNvPr id="19" name="Freeform: Shape 7">
          <a:extLst>
            <a:ext uri="{FF2B5EF4-FFF2-40B4-BE49-F238E27FC236}">
              <a16:creationId xmlns:a16="http://schemas.microsoft.com/office/drawing/2014/main" id="{34B5D9B1-A645-4932-B994-6FD75EA98E5E}"/>
            </a:ext>
            <a:ext uri="{147F2762-F138-4A5C-976F-8EAC2B608ADB}">
              <a16:predDERef xmlns:a16="http://schemas.microsoft.com/office/drawing/2014/main" pred="{5A411EAE-EC48-46A5-ABDD-3EB2E863C2C6}"/>
            </a:ext>
          </a:extLst>
        </xdr:cNvPr>
        <xdr:cNvSpPr/>
      </xdr:nvSpPr>
      <xdr:spPr>
        <a:xfrm>
          <a:off x="182789" y="8772525"/>
          <a:ext cx="55244" cy="55244"/>
        </a:xfrm>
        <a:custGeom>
          <a:avLst/>
          <a:gdLst/>
          <a:ahLst/>
          <a:cxnLst/>
          <a:rect l="0" t="0" r="0" b="0"/>
          <a:pathLst>
            <a:path w="55244" h="55244">
              <a:moveTo>
                <a:pt x="35051" y="54864"/>
              </a:moveTo>
              <a:lnTo>
                <a:pt x="19811" y="54864"/>
              </a:lnTo>
              <a:lnTo>
                <a:pt x="13715" y="51816"/>
              </a:lnTo>
              <a:lnTo>
                <a:pt x="3047" y="41148"/>
              </a:lnTo>
              <a:lnTo>
                <a:pt x="0" y="35052"/>
              </a:lnTo>
              <a:lnTo>
                <a:pt x="0" y="19812"/>
              </a:lnTo>
              <a:lnTo>
                <a:pt x="3047" y="12192"/>
              </a:lnTo>
              <a:lnTo>
                <a:pt x="13715" y="1524"/>
              </a:lnTo>
              <a:lnTo>
                <a:pt x="19811" y="0"/>
              </a:lnTo>
              <a:lnTo>
                <a:pt x="35051" y="0"/>
              </a:lnTo>
              <a:lnTo>
                <a:pt x="41147" y="1524"/>
              </a:lnTo>
              <a:lnTo>
                <a:pt x="47243" y="7620"/>
              </a:lnTo>
              <a:lnTo>
                <a:pt x="51815" y="12192"/>
              </a:lnTo>
              <a:lnTo>
                <a:pt x="54863" y="19812"/>
              </a:lnTo>
              <a:lnTo>
                <a:pt x="54863" y="35052"/>
              </a:lnTo>
              <a:lnTo>
                <a:pt x="51815" y="41148"/>
              </a:lnTo>
              <a:lnTo>
                <a:pt x="41147" y="51816"/>
              </a:lnTo>
              <a:lnTo>
                <a:pt x="35051" y="54864"/>
              </a:lnTo>
              <a:close/>
            </a:path>
          </a:pathLst>
        </a:custGeom>
        <a:solidFill>
          <a:srgbClr val="000000"/>
        </a:solidFill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</xdr:col>
      <xdr:colOff>58964</xdr:colOff>
      <xdr:row>20</xdr:row>
      <xdr:rowOff>0</xdr:rowOff>
    </xdr:from>
    <xdr:to>
      <xdr:col>1</xdr:col>
      <xdr:colOff>114208</xdr:colOff>
      <xdr:row>20</xdr:row>
      <xdr:rowOff>55244</xdr:rowOff>
    </xdr:to>
    <xdr:sp macro="" textlink="">
      <xdr:nvSpPr>
        <xdr:cNvPr id="18" name="Freeform: Shape 8">
          <a:extLst>
            <a:ext uri="{FF2B5EF4-FFF2-40B4-BE49-F238E27FC236}">
              <a16:creationId xmlns:a16="http://schemas.microsoft.com/office/drawing/2014/main" id="{F9F1E12B-4487-4D23-9C07-B48E46FFEF53}"/>
            </a:ext>
            <a:ext uri="{147F2762-F138-4A5C-976F-8EAC2B608ADB}">
              <a16:predDERef xmlns:a16="http://schemas.microsoft.com/office/drawing/2014/main" pred="{34B5D9B1-A645-4932-B994-6FD75EA98E5E}"/>
            </a:ext>
          </a:extLst>
        </xdr:cNvPr>
        <xdr:cNvSpPr/>
      </xdr:nvSpPr>
      <xdr:spPr>
        <a:xfrm>
          <a:off x="182789" y="8772525"/>
          <a:ext cx="55244" cy="55244"/>
        </a:xfrm>
        <a:custGeom>
          <a:avLst/>
          <a:gdLst/>
          <a:ahLst/>
          <a:cxnLst/>
          <a:rect l="0" t="0" r="0" b="0"/>
          <a:pathLst>
            <a:path w="55244" h="55244">
              <a:moveTo>
                <a:pt x="35051" y="54864"/>
              </a:moveTo>
              <a:lnTo>
                <a:pt x="19811" y="54864"/>
              </a:lnTo>
              <a:lnTo>
                <a:pt x="13715" y="51816"/>
              </a:lnTo>
              <a:lnTo>
                <a:pt x="3047" y="41148"/>
              </a:lnTo>
              <a:lnTo>
                <a:pt x="0" y="35052"/>
              </a:lnTo>
              <a:lnTo>
                <a:pt x="0" y="19812"/>
              </a:lnTo>
              <a:lnTo>
                <a:pt x="3047" y="12192"/>
              </a:lnTo>
              <a:lnTo>
                <a:pt x="13715" y="1524"/>
              </a:lnTo>
              <a:lnTo>
                <a:pt x="19811" y="0"/>
              </a:lnTo>
              <a:lnTo>
                <a:pt x="35051" y="0"/>
              </a:lnTo>
              <a:lnTo>
                <a:pt x="41147" y="1524"/>
              </a:lnTo>
              <a:lnTo>
                <a:pt x="47243" y="7620"/>
              </a:lnTo>
              <a:lnTo>
                <a:pt x="51815" y="12192"/>
              </a:lnTo>
              <a:lnTo>
                <a:pt x="54863" y="19812"/>
              </a:lnTo>
              <a:lnTo>
                <a:pt x="54863" y="35052"/>
              </a:lnTo>
              <a:lnTo>
                <a:pt x="51815" y="41148"/>
              </a:lnTo>
              <a:lnTo>
                <a:pt x="41147" y="51816"/>
              </a:lnTo>
              <a:lnTo>
                <a:pt x="35051" y="54864"/>
              </a:lnTo>
              <a:close/>
            </a:path>
          </a:pathLst>
        </a:custGeom>
        <a:solidFill>
          <a:srgbClr val="000000"/>
        </a:solidFill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</xdr:col>
      <xdr:colOff>58964</xdr:colOff>
      <xdr:row>20</xdr:row>
      <xdr:rowOff>0</xdr:rowOff>
    </xdr:from>
    <xdr:to>
      <xdr:col>1</xdr:col>
      <xdr:colOff>114208</xdr:colOff>
      <xdr:row>20</xdr:row>
      <xdr:rowOff>55244</xdr:rowOff>
    </xdr:to>
    <xdr:sp macro="" textlink="">
      <xdr:nvSpPr>
        <xdr:cNvPr id="17" name="Freeform: Shape 9">
          <a:extLst>
            <a:ext uri="{FF2B5EF4-FFF2-40B4-BE49-F238E27FC236}">
              <a16:creationId xmlns:a16="http://schemas.microsoft.com/office/drawing/2014/main" id="{C4559050-ED8C-401B-B539-4C299E2D3D7F}"/>
            </a:ext>
            <a:ext uri="{147F2762-F138-4A5C-976F-8EAC2B608ADB}">
              <a16:predDERef xmlns:a16="http://schemas.microsoft.com/office/drawing/2014/main" pred="{F9F1E12B-4487-4D23-9C07-B48E46FFEF53}"/>
            </a:ext>
          </a:extLst>
        </xdr:cNvPr>
        <xdr:cNvSpPr/>
      </xdr:nvSpPr>
      <xdr:spPr>
        <a:xfrm>
          <a:off x="182789" y="8772525"/>
          <a:ext cx="55244" cy="55244"/>
        </a:xfrm>
        <a:custGeom>
          <a:avLst/>
          <a:gdLst/>
          <a:ahLst/>
          <a:cxnLst/>
          <a:rect l="0" t="0" r="0" b="0"/>
          <a:pathLst>
            <a:path w="55244" h="55244">
              <a:moveTo>
                <a:pt x="35051" y="54864"/>
              </a:moveTo>
              <a:lnTo>
                <a:pt x="19811" y="54864"/>
              </a:lnTo>
              <a:lnTo>
                <a:pt x="13715" y="51816"/>
              </a:lnTo>
              <a:lnTo>
                <a:pt x="3047" y="41148"/>
              </a:lnTo>
              <a:lnTo>
                <a:pt x="0" y="35052"/>
              </a:lnTo>
              <a:lnTo>
                <a:pt x="0" y="19812"/>
              </a:lnTo>
              <a:lnTo>
                <a:pt x="3047" y="12192"/>
              </a:lnTo>
              <a:lnTo>
                <a:pt x="13715" y="1524"/>
              </a:lnTo>
              <a:lnTo>
                <a:pt x="19811" y="0"/>
              </a:lnTo>
              <a:lnTo>
                <a:pt x="35051" y="0"/>
              </a:lnTo>
              <a:lnTo>
                <a:pt x="41147" y="1524"/>
              </a:lnTo>
              <a:lnTo>
                <a:pt x="47243" y="7620"/>
              </a:lnTo>
              <a:lnTo>
                <a:pt x="51815" y="12192"/>
              </a:lnTo>
              <a:lnTo>
                <a:pt x="54863" y="19812"/>
              </a:lnTo>
              <a:lnTo>
                <a:pt x="54863" y="35052"/>
              </a:lnTo>
              <a:lnTo>
                <a:pt x="51815" y="41148"/>
              </a:lnTo>
              <a:lnTo>
                <a:pt x="41147" y="51816"/>
              </a:lnTo>
              <a:lnTo>
                <a:pt x="35051" y="54864"/>
              </a:lnTo>
              <a:close/>
            </a:path>
          </a:pathLst>
        </a:custGeom>
        <a:solidFill>
          <a:srgbClr val="000000"/>
        </a:solidFill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8A809-797B-40D8-B9E2-A3A061C04A6F}" name="Table1" displayName="Table1" ref="B7:C42" totalsRowShown="0" headerRowBorderDxfId="1" tableBorderDxfId="0">
  <autoFilter ref="B7:C42" xr:uid="{1B68A809-797B-40D8-B9E2-A3A061C04A6F}"/>
  <tableColumns count="2">
    <tableColumn id="1" xr3:uid="{306E59B5-C6BB-4972-B1BC-2B62DA0C3BAE}" name="DIVISION 01 – GENERAL REQUIREMENTS"/>
    <tableColumn id="2" xr3:uid="{912ACD86-8F8F-4654-AEA7-918870AB237E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71A9-31D9-4D89-BC3A-33B251CEF5D6}">
  <sheetPr>
    <pageSetUpPr fitToPage="1"/>
  </sheetPr>
  <dimension ref="A1:K47"/>
  <sheetViews>
    <sheetView tabSelected="1" zoomScaleNormal="100" workbookViewId="0">
      <pane ySplit="9" topLeftCell="A10" activePane="bottomLeft" state="frozen"/>
      <selection pane="bottomLeft" activeCell="E23" sqref="E23"/>
    </sheetView>
  </sheetViews>
  <sheetFormatPr defaultColWidth="9.5" defaultRowHeight="14.5" x14ac:dyDescent="0.35"/>
  <cols>
    <col min="1" max="1" width="13.19921875" style="135" customWidth="1"/>
    <col min="2" max="2" width="32.5" style="135" customWidth="1"/>
    <col min="3" max="3" width="20.796875" style="135" customWidth="1"/>
    <col min="4" max="4" width="11" style="135" customWidth="1"/>
    <col min="5" max="5" width="19.796875" style="135" customWidth="1"/>
    <col min="6" max="6" width="13.19921875" style="135" customWidth="1"/>
    <col min="7" max="7" width="11" style="135" customWidth="1"/>
    <col min="8" max="10" width="11.5" style="166" bestFit="1" customWidth="1"/>
    <col min="11" max="11" width="12.59765625" style="135" bestFit="1" customWidth="1"/>
    <col min="12" max="16384" width="9.5" style="135"/>
  </cols>
  <sheetData>
    <row r="1" spans="1:11" ht="15.5" x14ac:dyDescent="0.35">
      <c r="A1" s="193" t="s">
        <v>177</v>
      </c>
      <c r="B1" s="193"/>
      <c r="C1" s="193"/>
      <c r="D1" s="193"/>
      <c r="E1" s="193"/>
      <c r="F1" s="193"/>
      <c r="G1" s="193"/>
    </row>
    <row r="2" spans="1:11" x14ac:dyDescent="0.35">
      <c r="A2" s="194" t="s">
        <v>176</v>
      </c>
      <c r="B2" s="194"/>
      <c r="C2" s="194"/>
      <c r="D2" s="194"/>
      <c r="E2" s="194"/>
      <c r="F2" s="194"/>
      <c r="G2" s="194"/>
    </row>
    <row r="4" spans="1:11" x14ac:dyDescent="0.35">
      <c r="A4" s="152" t="s">
        <v>175</v>
      </c>
      <c r="B4" s="151" t="s">
        <v>174</v>
      </c>
      <c r="C4" s="152" t="s">
        <v>173</v>
      </c>
      <c r="D4" s="195" t="s">
        <v>172</v>
      </c>
      <c r="E4" s="195"/>
      <c r="F4" s="195"/>
      <c r="G4" s="195"/>
    </row>
    <row r="5" spans="1:11" x14ac:dyDescent="0.35">
      <c r="A5" s="152" t="s">
        <v>171</v>
      </c>
      <c r="B5" s="151" t="s">
        <v>170</v>
      </c>
      <c r="C5" s="152" t="s">
        <v>169</v>
      </c>
      <c r="D5" s="195" t="s">
        <v>168</v>
      </c>
      <c r="E5" s="195"/>
      <c r="F5" s="195"/>
      <c r="G5" s="195"/>
    </row>
    <row r="6" spans="1:11" x14ac:dyDescent="0.35">
      <c r="A6" s="152" t="s">
        <v>167</v>
      </c>
      <c r="B6" s="151" t="s">
        <v>166</v>
      </c>
      <c r="C6" s="152" t="s">
        <v>165</v>
      </c>
      <c r="D6" s="151" t="s">
        <v>164</v>
      </c>
      <c r="E6" s="152" t="s">
        <v>163</v>
      </c>
      <c r="F6" s="195" t="s">
        <v>162</v>
      </c>
      <c r="G6" s="195"/>
    </row>
    <row r="7" spans="1:11" x14ac:dyDescent="0.35">
      <c r="A7" s="152" t="s">
        <v>161</v>
      </c>
      <c r="B7" s="195" t="s">
        <v>160</v>
      </c>
      <c r="C7" s="195"/>
      <c r="D7" s="195"/>
      <c r="E7" s="195"/>
      <c r="F7" s="195"/>
      <c r="G7" s="195"/>
    </row>
    <row r="8" spans="1:11" x14ac:dyDescent="0.35">
      <c r="A8" s="196" t="s">
        <v>159</v>
      </c>
      <c r="B8" s="196"/>
      <c r="C8" s="196"/>
      <c r="D8" s="196"/>
      <c r="E8" s="196"/>
      <c r="F8" s="196"/>
      <c r="G8" s="196"/>
    </row>
    <row r="9" spans="1:11" ht="42" customHeight="1" x14ac:dyDescent="0.35">
      <c r="A9" s="150" t="s">
        <v>158</v>
      </c>
      <c r="B9" s="150" t="s">
        <v>157</v>
      </c>
      <c r="C9" s="150" t="s">
        <v>156</v>
      </c>
      <c r="D9" s="150" t="s">
        <v>155</v>
      </c>
      <c r="E9" s="150" t="s">
        <v>154</v>
      </c>
      <c r="F9" s="150" t="s">
        <v>153</v>
      </c>
      <c r="G9" s="150" t="s">
        <v>152</v>
      </c>
      <c r="H9" s="166" t="s">
        <v>179</v>
      </c>
      <c r="I9" s="166" t="s">
        <v>180</v>
      </c>
      <c r="J9" s="166" t="s">
        <v>181</v>
      </c>
      <c r="K9" s="135" t="s">
        <v>182</v>
      </c>
    </row>
    <row r="10" spans="1:11" ht="45.75" customHeight="1" x14ac:dyDescent="0.35">
      <c r="A10" s="149" t="s">
        <v>150</v>
      </c>
      <c r="B10" s="139" t="s">
        <v>151</v>
      </c>
      <c r="C10" s="139" t="s">
        <v>148</v>
      </c>
      <c r="D10" s="143" t="s">
        <v>147</v>
      </c>
      <c r="E10" s="147">
        <v>1541.78</v>
      </c>
      <c r="F10" s="141">
        <f>+E10/$E$22</f>
        <v>1.2348943145666957E-2</v>
      </c>
      <c r="G10" s="143" t="s">
        <v>146</v>
      </c>
      <c r="H10" s="166">
        <f>+E10</f>
        <v>1541.78</v>
      </c>
      <c r="K10" s="166">
        <f>SUM(H10:J10)</f>
        <v>1541.78</v>
      </c>
    </row>
    <row r="11" spans="1:11" ht="45.75" customHeight="1" x14ac:dyDescent="0.35">
      <c r="A11" s="148" t="s">
        <v>150</v>
      </c>
      <c r="B11" s="145" t="s">
        <v>149</v>
      </c>
      <c r="C11" s="145" t="s">
        <v>148</v>
      </c>
      <c r="D11" s="146" t="s">
        <v>147</v>
      </c>
      <c r="E11" s="147">
        <v>13.46</v>
      </c>
      <c r="F11" s="141">
        <f t="shared" ref="F11:F21" si="0">+E11/$E$22</f>
        <v>1.078083609468778E-4</v>
      </c>
      <c r="G11" s="146" t="s">
        <v>146</v>
      </c>
      <c r="H11" s="166">
        <f t="shared" ref="H11:H13" si="1">+E11</f>
        <v>13.46</v>
      </c>
      <c r="K11" s="166">
        <f t="shared" ref="K11:K19" si="2">SUM(H11:J11)</f>
        <v>13.46</v>
      </c>
    </row>
    <row r="12" spans="1:11" ht="45.75" customHeight="1" x14ac:dyDescent="0.35">
      <c r="A12" s="256" t="s">
        <v>145</v>
      </c>
      <c r="B12" s="257" t="s">
        <v>144</v>
      </c>
      <c r="C12" s="257" t="s">
        <v>141</v>
      </c>
      <c r="D12" s="258" t="s">
        <v>140</v>
      </c>
      <c r="E12" s="259">
        <v>660</v>
      </c>
      <c r="F12" s="141">
        <f t="shared" si="0"/>
        <v>5.2862940731752857E-3</v>
      </c>
      <c r="G12" s="260" t="s">
        <v>118</v>
      </c>
      <c r="H12" s="166">
        <f t="shared" si="1"/>
        <v>660</v>
      </c>
      <c r="K12" s="166">
        <f t="shared" si="2"/>
        <v>660</v>
      </c>
    </row>
    <row r="13" spans="1:11" ht="45.75" customHeight="1" x14ac:dyDescent="0.35">
      <c r="A13" s="148" t="s">
        <v>143</v>
      </c>
      <c r="B13" s="145" t="s">
        <v>142</v>
      </c>
      <c r="C13" s="145" t="s">
        <v>141</v>
      </c>
      <c r="D13" s="146" t="s">
        <v>140</v>
      </c>
      <c r="E13" s="147">
        <v>2100</v>
      </c>
      <c r="F13" s="141">
        <f t="shared" si="0"/>
        <v>1.6820026596466819E-2</v>
      </c>
      <c r="G13" s="146" t="s">
        <v>123</v>
      </c>
      <c r="H13" s="166">
        <f t="shared" si="1"/>
        <v>2100</v>
      </c>
      <c r="K13" s="166">
        <f t="shared" si="2"/>
        <v>2100</v>
      </c>
    </row>
    <row r="14" spans="1:11" ht="45.75" customHeight="1" x14ac:dyDescent="0.35">
      <c r="A14" s="148" t="s">
        <v>136</v>
      </c>
      <c r="B14" s="145" t="s">
        <v>20</v>
      </c>
      <c r="C14" s="145" t="s">
        <v>120</v>
      </c>
      <c r="D14" s="146" t="s">
        <v>119</v>
      </c>
      <c r="E14" s="147">
        <v>750</v>
      </c>
      <c r="F14" s="141">
        <f t="shared" si="0"/>
        <v>6.0071523558810061E-3</v>
      </c>
      <c r="G14" s="146" t="s">
        <v>123</v>
      </c>
      <c r="J14" s="166">
        <v>750</v>
      </c>
      <c r="K14" s="166">
        <f t="shared" si="2"/>
        <v>750</v>
      </c>
    </row>
    <row r="15" spans="1:11" ht="45.75" customHeight="1" x14ac:dyDescent="0.35">
      <c r="A15" s="256" t="s">
        <v>133</v>
      </c>
      <c r="B15" s="257" t="s">
        <v>132</v>
      </c>
      <c r="C15" s="257" t="s">
        <v>120</v>
      </c>
      <c r="D15" s="258" t="s">
        <v>119</v>
      </c>
      <c r="E15" s="259">
        <v>26496.82</v>
      </c>
      <c r="F15" s="141">
        <f t="shared" si="0"/>
        <v>0.21222724624847328</v>
      </c>
      <c r="G15" s="260" t="s">
        <v>118</v>
      </c>
      <c r="H15" s="166">
        <f>+C38*0.4</f>
        <v>10992.764000000001</v>
      </c>
      <c r="I15" s="166">
        <f>+C38*0.35</f>
        <v>9618.6684999999998</v>
      </c>
      <c r="J15" s="166">
        <f>+C38*0.25</f>
        <v>6870.4775</v>
      </c>
      <c r="K15" s="166">
        <f t="shared" si="2"/>
        <v>27481.910000000003</v>
      </c>
    </row>
    <row r="16" spans="1:11" ht="45.75" customHeight="1" x14ac:dyDescent="0.35">
      <c r="A16" s="149" t="s">
        <v>131</v>
      </c>
      <c r="B16" s="139" t="s">
        <v>130</v>
      </c>
      <c r="C16" s="139" t="s">
        <v>120</v>
      </c>
      <c r="D16" s="143" t="s">
        <v>119</v>
      </c>
      <c r="E16" s="142">
        <v>39498.11</v>
      </c>
      <c r="F16" s="141">
        <f t="shared" si="0"/>
        <v>0.31636155271912952</v>
      </c>
      <c r="G16" s="143" t="s">
        <v>123</v>
      </c>
      <c r="H16" s="166">
        <f>+E16*0.4</f>
        <v>15799.244000000001</v>
      </c>
      <c r="I16" s="166">
        <f>+E16*0.35</f>
        <v>13824.3385</v>
      </c>
      <c r="J16" s="166">
        <f>+E16*0.25</f>
        <v>9874.5275000000001</v>
      </c>
      <c r="K16" s="166">
        <f t="shared" si="2"/>
        <v>39498.11</v>
      </c>
    </row>
    <row r="17" spans="1:11" ht="45.75" customHeight="1" x14ac:dyDescent="0.35">
      <c r="A17" s="256" t="s">
        <v>129</v>
      </c>
      <c r="B17" s="257" t="s">
        <v>128</v>
      </c>
      <c r="C17" s="257" t="s">
        <v>120</v>
      </c>
      <c r="D17" s="258" t="s">
        <v>119</v>
      </c>
      <c r="E17" s="259">
        <v>11790</v>
      </c>
      <c r="F17" s="141">
        <f t="shared" si="0"/>
        <v>9.4432435034449425E-2</v>
      </c>
      <c r="G17" s="260" t="s">
        <v>118</v>
      </c>
      <c r="H17" s="166">
        <f>+E17*0.5</f>
        <v>5895</v>
      </c>
      <c r="I17" s="166">
        <f>+E17*0.25</f>
        <v>2947.5</v>
      </c>
      <c r="J17" s="166">
        <f>+E17*0.25</f>
        <v>2947.5</v>
      </c>
      <c r="K17" s="166">
        <f t="shared" si="2"/>
        <v>11790</v>
      </c>
    </row>
    <row r="18" spans="1:11" ht="45.75" customHeight="1" x14ac:dyDescent="0.35">
      <c r="A18" s="149" t="s">
        <v>127</v>
      </c>
      <c r="B18" s="139" t="s">
        <v>126</v>
      </c>
      <c r="C18" s="139" t="s">
        <v>120</v>
      </c>
      <c r="D18" s="143" t="s">
        <v>119</v>
      </c>
      <c r="E18" s="142">
        <v>28601</v>
      </c>
      <c r="F18" s="141">
        <f t="shared" si="0"/>
        <v>0.22908075270740355</v>
      </c>
      <c r="G18" s="143" t="s">
        <v>123</v>
      </c>
      <c r="H18" s="166">
        <f>+E18*0.5</f>
        <v>14300.5</v>
      </c>
      <c r="I18" s="166">
        <f>+E18*0.25</f>
        <v>7150.25</v>
      </c>
      <c r="J18" s="166">
        <f>+E18*0.25</f>
        <v>7150.25</v>
      </c>
      <c r="K18" s="166">
        <f t="shared" si="2"/>
        <v>28601</v>
      </c>
    </row>
    <row r="19" spans="1:11" ht="45.75" customHeight="1" x14ac:dyDescent="0.35">
      <c r="A19" s="256" t="s">
        <v>122</v>
      </c>
      <c r="B19" s="257" t="s">
        <v>121</v>
      </c>
      <c r="C19" s="257" t="s">
        <v>120</v>
      </c>
      <c r="D19" s="258" t="s">
        <v>119</v>
      </c>
      <c r="E19" s="259">
        <v>800</v>
      </c>
      <c r="F19" s="141">
        <f t="shared" si="0"/>
        <v>6.4076291796064068E-3</v>
      </c>
      <c r="G19" s="260" t="s">
        <v>118</v>
      </c>
      <c r="H19" s="166">
        <f>+E19</f>
        <v>800</v>
      </c>
      <c r="K19" s="166">
        <f t="shared" si="2"/>
        <v>800</v>
      </c>
    </row>
    <row r="20" spans="1:11" ht="45.75" customHeight="1" x14ac:dyDescent="0.35">
      <c r="A20" s="144"/>
      <c r="B20" s="168" t="s">
        <v>183</v>
      </c>
      <c r="C20" s="139"/>
      <c r="D20" s="143"/>
      <c r="E20" s="142">
        <v>8000</v>
      </c>
      <c r="F20" s="141">
        <f t="shared" si="0"/>
        <v>6.4076291796064069E-2</v>
      </c>
      <c r="G20" s="140"/>
      <c r="H20" s="166">
        <f>+E20*0.5</f>
        <v>4000</v>
      </c>
      <c r="I20" s="166">
        <f>+E20*0.25</f>
        <v>2000</v>
      </c>
      <c r="J20" s="166">
        <f>+E20*0.25</f>
        <v>2000</v>
      </c>
      <c r="K20" s="166">
        <f t="shared" ref="K20:K21" si="3">SUM(H20:J20)</f>
        <v>8000</v>
      </c>
    </row>
    <row r="21" spans="1:11" ht="45.75" customHeight="1" x14ac:dyDescent="0.35">
      <c r="A21" s="144"/>
      <c r="B21" s="168" t="s">
        <v>192</v>
      </c>
      <c r="C21" s="139"/>
      <c r="D21" s="143"/>
      <c r="E21" s="142">
        <v>4600</v>
      </c>
      <c r="F21" s="141">
        <f t="shared" si="0"/>
        <v>3.6843867782736836E-2</v>
      </c>
      <c r="G21" s="140"/>
      <c r="J21" s="166">
        <v>4600</v>
      </c>
      <c r="K21" s="166">
        <f t="shared" si="3"/>
        <v>4600</v>
      </c>
    </row>
    <row r="22" spans="1:11" x14ac:dyDescent="0.35">
      <c r="A22" s="197" t="s">
        <v>117</v>
      </c>
      <c r="B22" s="197"/>
      <c r="C22" s="197"/>
      <c r="D22" s="197"/>
      <c r="E22" s="138">
        <f>SUM(E10:E21)</f>
        <v>124851.17</v>
      </c>
      <c r="F22" s="198"/>
      <c r="G22" s="198"/>
      <c r="H22" s="180">
        <f>SUM(H10:H21)</f>
        <v>56102.748</v>
      </c>
      <c r="I22" s="180">
        <f t="shared" ref="I22:J22" si="4">SUM(I10:I21)</f>
        <v>35540.756999999998</v>
      </c>
      <c r="J22" s="180">
        <f t="shared" si="4"/>
        <v>34192.755000000005</v>
      </c>
      <c r="K22" s="180">
        <f>SUM(K10:K21)</f>
        <v>125836.26000000001</v>
      </c>
    </row>
    <row r="23" spans="1:11" x14ac:dyDescent="0.35">
      <c r="A23" s="190" t="s">
        <v>116</v>
      </c>
      <c r="B23" s="190"/>
      <c r="C23" s="190"/>
      <c r="D23" s="190"/>
      <c r="E23" s="137">
        <f>+E12+E15+E17+E19</f>
        <v>39746.82</v>
      </c>
      <c r="F23" s="191"/>
      <c r="G23" s="192"/>
      <c r="H23" s="181">
        <f>+H22*0.1881</f>
        <v>10552.926898799999</v>
      </c>
      <c r="I23" s="181">
        <f t="shared" ref="I23:J23" si="5">+I22*0.1881</f>
        <v>6685.2163916999989</v>
      </c>
      <c r="J23" s="181">
        <f t="shared" si="5"/>
        <v>6431.6572155000003</v>
      </c>
      <c r="K23" s="181">
        <f>SUM(H23:J23)</f>
        <v>23669.800505999996</v>
      </c>
    </row>
    <row r="24" spans="1:11" ht="15" thickBot="1" x14ac:dyDescent="0.4">
      <c r="A24" s="190" t="s">
        <v>115</v>
      </c>
      <c r="B24" s="190"/>
      <c r="C24" s="190"/>
      <c r="D24" s="190"/>
      <c r="E24" s="136">
        <f>+F12+F15+F17+F19</f>
        <v>0.31835360453570444</v>
      </c>
      <c r="F24" s="191"/>
      <c r="G24" s="192"/>
      <c r="H24" s="182">
        <f>SUM(H22:H23)</f>
        <v>66655.674898800004</v>
      </c>
      <c r="I24" s="182">
        <f t="shared" ref="I24:K24" si="6">SUM(I22:I23)</f>
        <v>42225.973391699998</v>
      </c>
      <c r="J24" s="182">
        <f t="shared" si="6"/>
        <v>40624.412215500008</v>
      </c>
      <c r="K24" s="182">
        <f t="shared" si="6"/>
        <v>149506.06050600001</v>
      </c>
    </row>
    <row r="25" spans="1:11" ht="15" thickTop="1" x14ac:dyDescent="0.35"/>
    <row r="26" spans="1:11" x14ac:dyDescent="0.35">
      <c r="D26" s="155">
        <v>0.18809999999999999</v>
      </c>
      <c r="E26" s="156">
        <f>(E22-E10-E11)*D26</f>
        <v>23191.964432999997</v>
      </c>
      <c r="H26" s="154">
        <f>+H24/K24</f>
        <v>0.44583928352606794</v>
      </c>
      <c r="I26" s="154">
        <f>+I24/K24</f>
        <v>0.28243653299931193</v>
      </c>
      <c r="J26" s="154">
        <f>+J24/K24</f>
        <v>0.27172418347462013</v>
      </c>
    </row>
    <row r="27" spans="1:11" ht="21" x14ac:dyDescent="0.5">
      <c r="C27" s="158" t="s">
        <v>178</v>
      </c>
      <c r="E27" s="157">
        <f>+E22+E26</f>
        <v>148043.134433</v>
      </c>
    </row>
    <row r="28" spans="1:11" ht="20" x14ac:dyDescent="0.35">
      <c r="C28" s="159">
        <v>148600</v>
      </c>
    </row>
    <row r="31" spans="1:11" ht="15" thickBot="1" x14ac:dyDescent="0.4"/>
    <row r="32" spans="1:11" ht="15" thickBot="1" x14ac:dyDescent="0.4">
      <c r="B32" s="178" t="s">
        <v>79</v>
      </c>
      <c r="C32" s="179"/>
      <c r="E32" s="183" t="s">
        <v>83</v>
      </c>
      <c r="F32" s="183"/>
    </row>
    <row r="33" spans="1:11" x14ac:dyDescent="0.35">
      <c r="B33" s="176" t="s">
        <v>184</v>
      </c>
      <c r="C33" s="177">
        <f>11015.09-495</f>
        <v>10520.09</v>
      </c>
      <c r="E33" s="169" t="s">
        <v>188</v>
      </c>
      <c r="F33" s="184">
        <v>17785.109999999997</v>
      </c>
    </row>
    <row r="34" spans="1:11" x14ac:dyDescent="0.35">
      <c r="B34" s="169" t="s">
        <v>185</v>
      </c>
      <c r="C34" s="171">
        <f>6094-390-780</f>
        <v>4924</v>
      </c>
      <c r="E34" s="169" t="s">
        <v>189</v>
      </c>
      <c r="F34" s="171">
        <v>8000</v>
      </c>
    </row>
    <row r="35" spans="1:11" x14ac:dyDescent="0.35">
      <c r="B35" s="169" t="s">
        <v>85</v>
      </c>
      <c r="C35" s="171">
        <v>11242.82</v>
      </c>
      <c r="E35" s="169" t="s">
        <v>190</v>
      </c>
      <c r="F35" s="171">
        <v>9000</v>
      </c>
    </row>
    <row r="36" spans="1:11" x14ac:dyDescent="0.35">
      <c r="B36" s="173" t="s">
        <v>186</v>
      </c>
      <c r="C36" s="174">
        <v>300</v>
      </c>
      <c r="E36" s="169" t="s">
        <v>191</v>
      </c>
      <c r="F36" s="171">
        <v>4750</v>
      </c>
    </row>
    <row r="37" spans="1:11" x14ac:dyDescent="0.35">
      <c r="B37" s="173" t="s">
        <v>187</v>
      </c>
      <c r="C37" s="174">
        <v>495</v>
      </c>
      <c r="E37" s="169"/>
      <c r="F37" s="171"/>
    </row>
    <row r="38" spans="1:11" ht="15" thickBot="1" x14ac:dyDescent="0.4">
      <c r="B38" s="170"/>
      <c r="C38" s="172">
        <f>SUM(C33:C37)</f>
        <v>27481.91</v>
      </c>
      <c r="E38" s="170"/>
      <c r="F38" s="185">
        <f>SUM(F33:F37)</f>
        <v>39535.11</v>
      </c>
    </row>
    <row r="39" spans="1:11" ht="15" thickTop="1" x14ac:dyDescent="0.35">
      <c r="C39" s="175">
        <f>+E15-C38</f>
        <v>-985.09000000000015</v>
      </c>
    </row>
    <row r="45" spans="1:11" ht="45.75" customHeight="1" x14ac:dyDescent="0.35">
      <c r="A45" s="167" t="s">
        <v>135</v>
      </c>
      <c r="B45" s="161" t="s">
        <v>134</v>
      </c>
      <c r="C45" s="161" t="s">
        <v>120</v>
      </c>
      <c r="D45" s="162" t="s">
        <v>119</v>
      </c>
      <c r="E45" s="163">
        <v>5126</v>
      </c>
      <c r="F45" s="164">
        <v>4.1000000000000002E-2</v>
      </c>
      <c r="G45" s="162" t="s">
        <v>123</v>
      </c>
      <c r="I45" s="166">
        <v>4600</v>
      </c>
      <c r="K45" s="166">
        <f>SUM(H45:J45)</f>
        <v>4600</v>
      </c>
    </row>
    <row r="46" spans="1:11" ht="45.75" customHeight="1" x14ac:dyDescent="0.35">
      <c r="A46" s="167" t="s">
        <v>125</v>
      </c>
      <c r="B46" s="161" t="s">
        <v>124</v>
      </c>
      <c r="C46" s="161" t="s">
        <v>120</v>
      </c>
      <c r="D46" s="162" t="s">
        <v>119</v>
      </c>
      <c r="E46" s="163">
        <v>7983</v>
      </c>
      <c r="F46" s="164">
        <v>6.3799999999999996E-2</v>
      </c>
      <c r="G46" s="146" t="s">
        <v>123</v>
      </c>
      <c r="K46" s="166">
        <f>SUM(H46:J46)</f>
        <v>0</v>
      </c>
    </row>
    <row r="47" spans="1:11" ht="45.75" customHeight="1" x14ac:dyDescent="0.35">
      <c r="A47" s="160" t="s">
        <v>139</v>
      </c>
      <c r="B47" s="161" t="s">
        <v>138</v>
      </c>
      <c r="C47" s="161" t="s">
        <v>137</v>
      </c>
      <c r="D47" s="162" t="s">
        <v>18</v>
      </c>
      <c r="E47" s="163">
        <v>860</v>
      </c>
      <c r="F47" s="164">
        <v>6.8999999999999999E-3</v>
      </c>
      <c r="G47" s="165" t="s">
        <v>118</v>
      </c>
      <c r="H47" s="166">
        <v>0</v>
      </c>
      <c r="I47" s="166">
        <v>0</v>
      </c>
      <c r="J47" s="166">
        <v>0</v>
      </c>
      <c r="K47" s="166">
        <f>SUM(H47:J47)</f>
        <v>0</v>
      </c>
    </row>
  </sheetData>
  <mergeCells count="13">
    <mergeCell ref="A24:D24"/>
    <mergeCell ref="F24:G24"/>
    <mergeCell ref="F23:G23"/>
    <mergeCell ref="A1:G1"/>
    <mergeCell ref="A2:G2"/>
    <mergeCell ref="D4:G4"/>
    <mergeCell ref="D5:G5"/>
    <mergeCell ref="F6:G6"/>
    <mergeCell ref="B7:G7"/>
    <mergeCell ref="A8:G8"/>
    <mergeCell ref="A22:D22"/>
    <mergeCell ref="F22:G22"/>
    <mergeCell ref="A23:D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FC64-47D6-417F-9252-E796EB076F76}">
  <dimension ref="A1:P43"/>
  <sheetViews>
    <sheetView topLeftCell="A2" workbookViewId="0">
      <selection activeCell="H34" sqref="H34:H35"/>
    </sheetView>
  </sheetViews>
  <sheetFormatPr defaultColWidth="9.296875" defaultRowHeight="13" x14ac:dyDescent="0.3"/>
  <cols>
    <col min="1" max="1" width="2.19921875" style="4" customWidth="1"/>
    <col min="2" max="2" width="3.296875" style="4" customWidth="1"/>
    <col min="3" max="3" width="15.19921875" style="4" customWidth="1"/>
    <col min="4" max="4" width="26.69921875" style="4" customWidth="1"/>
    <col min="5" max="5" width="13" style="4" customWidth="1"/>
    <col min="6" max="6" width="16.19921875" style="4" customWidth="1"/>
    <col min="7" max="7" width="4.69921875" style="4" customWidth="1"/>
    <col min="8" max="8" width="19.796875" style="4" customWidth="1"/>
    <col min="9" max="9" width="14" style="4" customWidth="1"/>
    <col min="10" max="10" width="1.19921875" style="4" customWidth="1"/>
    <col min="11" max="11" width="3.296875" style="4" customWidth="1"/>
    <col min="12" max="12" width="1.19921875" style="4" customWidth="1"/>
    <col min="13" max="13" width="2.19921875" style="4" hidden="1" customWidth="1"/>
    <col min="14" max="14" width="16.69921875" style="4" customWidth="1"/>
    <col min="15" max="15" width="20.296875" style="4" customWidth="1"/>
    <col min="16" max="16384" width="9.296875" style="4"/>
  </cols>
  <sheetData>
    <row r="1" spans="1:15" ht="15.75" customHeight="1" x14ac:dyDescent="0.3">
      <c r="A1" s="112"/>
      <c r="B1" s="112"/>
      <c r="C1" s="252"/>
      <c r="D1" s="252"/>
      <c r="E1" s="252"/>
      <c r="F1" s="252"/>
      <c r="G1" s="252"/>
      <c r="H1" s="252"/>
      <c r="I1" s="252"/>
      <c r="J1" s="112"/>
      <c r="K1" s="112"/>
      <c r="L1" s="215"/>
      <c r="M1" s="215"/>
    </row>
    <row r="2" spans="1:15" ht="153.75" customHeight="1" x14ac:dyDescent="0.3">
      <c r="A2" s="247" t="s">
        <v>0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</row>
    <row r="3" spans="1:15" ht="97.5" customHeight="1" x14ac:dyDescent="0.3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</row>
    <row r="4" spans="1:15" ht="36" customHeight="1" x14ac:dyDescent="0.3">
      <c r="A4" s="113"/>
      <c r="B4" s="229" t="s">
        <v>2</v>
      </c>
      <c r="C4" s="229"/>
      <c r="D4" s="253" t="s">
        <v>3</v>
      </c>
      <c r="E4" s="253"/>
      <c r="F4" s="235" t="s">
        <v>4</v>
      </c>
      <c r="G4" s="235"/>
      <c r="H4" s="239" t="s">
        <v>5</v>
      </c>
      <c r="I4" s="235" t="s">
        <v>6</v>
      </c>
      <c r="J4" s="235"/>
      <c r="K4" s="113"/>
      <c r="L4" s="241"/>
      <c r="M4" s="241"/>
    </row>
    <row r="5" spans="1:15" ht="34" customHeight="1" x14ac:dyDescent="0.3">
      <c r="A5" s="113"/>
      <c r="B5" s="242" t="s">
        <v>7</v>
      </c>
      <c r="C5" s="242"/>
      <c r="D5" s="253"/>
      <c r="E5" s="253"/>
      <c r="F5" s="235"/>
      <c r="G5" s="235"/>
      <c r="H5" s="239"/>
      <c r="I5" s="235"/>
      <c r="J5" s="235"/>
      <c r="K5" s="113"/>
      <c r="L5" s="241"/>
      <c r="M5" s="241"/>
      <c r="N5" s="4" t="s">
        <v>8</v>
      </c>
    </row>
    <row r="6" spans="1:15" ht="20.149999999999999" customHeight="1" x14ac:dyDescent="0.3">
      <c r="A6" s="112"/>
      <c r="B6" s="216"/>
      <c r="C6" s="216"/>
      <c r="D6" s="223" t="s">
        <v>9</v>
      </c>
      <c r="E6" s="223"/>
      <c r="F6" s="205">
        <v>909</v>
      </c>
      <c r="G6" s="205"/>
      <c r="H6" s="251">
        <v>414.22</v>
      </c>
      <c r="I6" s="211">
        <f>H6/$N$6</f>
        <v>3.3113067190779703E-3</v>
      </c>
      <c r="J6" s="211"/>
      <c r="K6" s="112"/>
      <c r="L6" s="215"/>
      <c r="M6" s="215"/>
      <c r="N6" s="5">
        <f>+Rehab!F45</f>
        <v>125092.60999999999</v>
      </c>
    </row>
    <row r="7" spans="1:15" ht="20.149999999999999" customHeight="1" x14ac:dyDescent="0.3">
      <c r="A7" s="112"/>
      <c r="B7" s="221"/>
      <c r="C7" s="221"/>
      <c r="D7" s="223"/>
      <c r="E7" s="223"/>
      <c r="F7" s="205"/>
      <c r="G7" s="205"/>
      <c r="H7" s="251"/>
      <c r="I7" s="211"/>
      <c r="J7" s="211"/>
      <c r="K7" s="112"/>
      <c r="L7" s="215"/>
      <c r="M7" s="215"/>
      <c r="O7" s="6"/>
    </row>
    <row r="8" spans="1:15" ht="20.149999999999999" customHeight="1" x14ac:dyDescent="0.3">
      <c r="A8" s="112"/>
      <c r="B8" s="216"/>
      <c r="C8" s="216"/>
      <c r="D8" s="244" t="s">
        <v>10</v>
      </c>
      <c r="E8" s="244"/>
      <c r="F8" s="205">
        <v>909</v>
      </c>
      <c r="G8" s="205"/>
      <c r="H8" s="251">
        <v>13.46</v>
      </c>
      <c r="I8" s="211">
        <f t="shared" ref="I8" si="0">H8/$N$6</f>
        <v>1.0760028110373588E-4</v>
      </c>
      <c r="J8" s="211"/>
      <c r="K8" s="112"/>
      <c r="L8" s="215"/>
      <c r="M8" s="215"/>
      <c r="N8" s="5"/>
    </row>
    <row r="9" spans="1:15" ht="20.149999999999999" customHeight="1" x14ac:dyDescent="0.3">
      <c r="A9" s="112"/>
      <c r="B9" s="221"/>
      <c r="C9" s="221"/>
      <c r="D9" s="244"/>
      <c r="E9" s="244"/>
      <c r="F9" s="205"/>
      <c r="G9" s="205"/>
      <c r="H9" s="251"/>
      <c r="I9" s="211"/>
      <c r="J9" s="211"/>
      <c r="K9" s="112"/>
      <c r="L9" s="215"/>
      <c r="M9" s="215"/>
      <c r="O9" s="6"/>
    </row>
    <row r="10" spans="1:15" ht="20.149999999999999" customHeight="1" x14ac:dyDescent="0.3">
      <c r="A10" s="112"/>
      <c r="B10" s="216" t="s">
        <v>11</v>
      </c>
      <c r="C10" s="216"/>
      <c r="D10" s="223" t="s">
        <v>12</v>
      </c>
      <c r="E10" s="223"/>
      <c r="F10" s="205">
        <v>925</v>
      </c>
      <c r="G10" s="205"/>
      <c r="H10" s="245">
        <v>660</v>
      </c>
      <c r="I10" s="211">
        <f t="shared" ref="I10" si="1">H10/$N$6</f>
        <v>5.2760910496631262E-3</v>
      </c>
      <c r="J10" s="211"/>
      <c r="K10" s="112"/>
      <c r="L10" s="215"/>
      <c r="M10" s="215"/>
      <c r="O10" s="7"/>
    </row>
    <row r="11" spans="1:15" ht="36.75" customHeight="1" x14ac:dyDescent="0.3">
      <c r="A11" s="112"/>
      <c r="B11" s="216" t="s">
        <v>13</v>
      </c>
      <c r="C11" s="216"/>
      <c r="D11" s="223"/>
      <c r="E11" s="223"/>
      <c r="F11" s="205"/>
      <c r="G11" s="205"/>
      <c r="H11" s="245"/>
      <c r="I11" s="211"/>
      <c r="J11" s="211"/>
      <c r="K11" s="112"/>
      <c r="L11" s="215"/>
      <c r="M11" s="215"/>
      <c r="N11" s="7"/>
    </row>
    <row r="12" spans="1:15" ht="20.149999999999999" customHeight="1" x14ac:dyDescent="0.3">
      <c r="A12" s="112"/>
      <c r="B12" s="216" t="s">
        <v>14</v>
      </c>
      <c r="C12" s="216"/>
      <c r="D12" s="223" t="s">
        <v>15</v>
      </c>
      <c r="E12" s="223"/>
      <c r="F12" s="205">
        <v>925</v>
      </c>
      <c r="G12" s="205"/>
      <c r="H12" s="245">
        <v>2100</v>
      </c>
      <c r="I12" s="211">
        <f t="shared" ref="I12" si="2">H12/$N$6</f>
        <v>1.6787562430746309E-2</v>
      </c>
      <c r="J12" s="211"/>
      <c r="K12" s="112"/>
      <c r="L12" s="215"/>
      <c r="M12" s="215"/>
    </row>
    <row r="13" spans="1:15" ht="19" customHeight="1" x14ac:dyDescent="0.3">
      <c r="A13" s="112"/>
      <c r="B13" s="216" t="s">
        <v>16</v>
      </c>
      <c r="C13" s="216"/>
      <c r="D13" s="223"/>
      <c r="E13" s="223"/>
      <c r="F13" s="205"/>
      <c r="G13" s="205"/>
      <c r="H13" s="245"/>
      <c r="I13" s="211"/>
      <c r="J13" s="211"/>
      <c r="K13" s="112"/>
      <c r="L13" s="215"/>
      <c r="M13" s="215"/>
    </row>
    <row r="14" spans="1:15" ht="20.149999999999999" customHeight="1" x14ac:dyDescent="0.3">
      <c r="A14" s="112"/>
      <c r="B14" s="216" t="s">
        <v>11</v>
      </c>
      <c r="C14" s="216"/>
      <c r="D14" s="248" t="s">
        <v>17</v>
      </c>
      <c r="E14" s="248"/>
      <c r="F14" s="249" t="s">
        <v>18</v>
      </c>
      <c r="G14" s="249"/>
      <c r="H14" s="250">
        <f>+Rehab!F12</f>
        <v>860</v>
      </c>
      <c r="I14" s="211">
        <f t="shared" ref="I14" si="3">H14/$N$6</f>
        <v>6.8749065192580125E-3</v>
      </c>
      <c r="J14" s="211"/>
      <c r="K14" s="112"/>
      <c r="L14" s="215"/>
      <c r="M14" s="215"/>
    </row>
    <row r="15" spans="1:15" ht="33" customHeight="1" x14ac:dyDescent="0.3">
      <c r="A15" s="112"/>
      <c r="B15" s="216" t="s">
        <v>19</v>
      </c>
      <c r="C15" s="216"/>
      <c r="D15" s="248"/>
      <c r="E15" s="248"/>
      <c r="F15" s="249"/>
      <c r="G15" s="249"/>
      <c r="H15" s="250"/>
      <c r="I15" s="211"/>
      <c r="J15" s="211"/>
      <c r="K15" s="112"/>
      <c r="L15" s="215"/>
      <c r="M15" s="215"/>
    </row>
    <row r="16" spans="1:15" ht="20.149999999999999" customHeight="1" x14ac:dyDescent="0.3">
      <c r="A16" s="112"/>
      <c r="B16" s="216" t="s">
        <v>14</v>
      </c>
      <c r="C16" s="216"/>
      <c r="D16" s="244" t="s">
        <v>20</v>
      </c>
      <c r="E16" s="244"/>
      <c r="F16" s="205">
        <v>914</v>
      </c>
      <c r="G16" s="205"/>
      <c r="H16" s="245">
        <v>750</v>
      </c>
      <c r="I16" s="211">
        <f t="shared" ref="I16" si="4">H16/$N$6</f>
        <v>5.9955580109808254E-3</v>
      </c>
      <c r="J16" s="211"/>
      <c r="K16" s="112"/>
      <c r="L16" s="215"/>
      <c r="M16" s="215"/>
    </row>
    <row r="17" spans="1:15" ht="19" customHeight="1" x14ac:dyDescent="0.3">
      <c r="A17" s="112"/>
      <c r="B17" s="246" t="s">
        <v>21</v>
      </c>
      <c r="C17" s="246"/>
      <c r="D17" s="244"/>
      <c r="E17" s="244"/>
      <c r="F17" s="205"/>
      <c r="G17" s="205"/>
      <c r="H17" s="245"/>
      <c r="I17" s="211"/>
      <c r="J17" s="211"/>
      <c r="K17" s="112"/>
      <c r="L17" s="215"/>
      <c r="M17" s="215"/>
    </row>
    <row r="18" spans="1:15" ht="20.149999999999999" customHeight="1" x14ac:dyDescent="0.3">
      <c r="A18" s="112"/>
      <c r="B18" s="216" t="s">
        <v>14</v>
      </c>
      <c r="C18" s="216"/>
      <c r="D18" s="255" t="s">
        <v>22</v>
      </c>
      <c r="E18" s="255"/>
      <c r="F18" s="205">
        <v>914</v>
      </c>
      <c r="G18" s="205"/>
      <c r="H18" s="245">
        <v>5126</v>
      </c>
      <c r="I18" s="211">
        <f t="shared" ref="I18" si="5">H18/$N$6</f>
        <v>4.0977640485716949E-2</v>
      </c>
      <c r="J18" s="211"/>
      <c r="K18" s="112"/>
      <c r="L18" s="215"/>
      <c r="M18" s="215"/>
      <c r="O18" s="6"/>
    </row>
    <row r="19" spans="1:15" ht="31.5" customHeight="1" x14ac:dyDescent="0.3">
      <c r="A19" s="112"/>
      <c r="B19" s="216"/>
      <c r="C19" s="216"/>
      <c r="D19" s="255"/>
      <c r="E19" s="255"/>
      <c r="F19" s="205"/>
      <c r="G19" s="205"/>
      <c r="H19" s="245"/>
      <c r="I19" s="211"/>
      <c r="J19" s="211"/>
      <c r="K19" s="112"/>
      <c r="L19" s="215"/>
      <c r="M19" s="215"/>
      <c r="O19" s="105">
        <f>SUM(H6:H19)</f>
        <v>9923.68</v>
      </c>
    </row>
    <row r="20" spans="1:15" s="114" customFormat="1" ht="128.25" customHeight="1" x14ac:dyDescent="0.3">
      <c r="A20" s="218" t="s">
        <v>23</v>
      </c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</row>
    <row r="21" spans="1:15" s="114" customFormat="1" x14ac:dyDescent="0.3"/>
    <row r="22" spans="1:15" s="114" customFormat="1" hidden="1" x14ac:dyDescent="0.3"/>
    <row r="23" spans="1:15" s="114" customFormat="1" ht="153.75" customHeight="1" x14ac:dyDescent="0.3">
      <c r="A23" s="247" t="s">
        <v>24</v>
      </c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</row>
    <row r="24" spans="1:15" ht="36" customHeight="1" x14ac:dyDescent="0.3">
      <c r="A24" s="113"/>
      <c r="B24" s="229" t="s">
        <v>2</v>
      </c>
      <c r="C24" s="230"/>
      <c r="D24" s="231" t="s">
        <v>25</v>
      </c>
      <c r="E24" s="232"/>
      <c r="F24" s="235" t="s">
        <v>4</v>
      </c>
      <c r="G24" s="236"/>
      <c r="H24" s="239" t="s">
        <v>5</v>
      </c>
      <c r="I24" s="235" t="s">
        <v>6</v>
      </c>
      <c r="J24" s="236"/>
      <c r="K24" s="113"/>
      <c r="L24" s="241"/>
      <c r="M24" s="241"/>
    </row>
    <row r="25" spans="1:15" ht="34" customHeight="1" x14ac:dyDescent="0.3">
      <c r="A25" s="113"/>
      <c r="B25" s="242" t="s">
        <v>7</v>
      </c>
      <c r="C25" s="243"/>
      <c r="D25" s="233"/>
      <c r="E25" s="234"/>
      <c r="F25" s="237"/>
      <c r="G25" s="238"/>
      <c r="H25" s="240"/>
      <c r="I25" s="237"/>
      <c r="J25" s="238"/>
      <c r="K25" s="113"/>
      <c r="L25" s="241"/>
      <c r="M25" s="241"/>
    </row>
    <row r="26" spans="1:15" ht="20.149999999999999" customHeight="1" x14ac:dyDescent="0.3">
      <c r="A26" s="112"/>
      <c r="B26" s="216" t="s">
        <v>11</v>
      </c>
      <c r="C26" s="217"/>
      <c r="D26" s="223" t="s">
        <v>26</v>
      </c>
      <c r="E26" s="224"/>
      <c r="F26" s="205">
        <v>914</v>
      </c>
      <c r="G26" s="206"/>
      <c r="H26" s="245">
        <f>+Rehab!G4</f>
        <v>26496.82</v>
      </c>
      <c r="I26" s="211">
        <f t="shared" ref="I26:I36" si="6">H26/$N$6</f>
        <v>0.21181762855535594</v>
      </c>
      <c r="J26" s="212"/>
      <c r="K26" s="112"/>
      <c r="L26" s="215"/>
      <c r="M26" s="215"/>
    </row>
    <row r="27" spans="1:15" ht="20.9" customHeight="1" x14ac:dyDescent="0.3">
      <c r="A27" s="112"/>
      <c r="B27" s="216" t="s">
        <v>27</v>
      </c>
      <c r="C27" s="217"/>
      <c r="D27" s="225"/>
      <c r="E27" s="226"/>
      <c r="F27" s="207"/>
      <c r="G27" s="208"/>
      <c r="H27" s="254"/>
      <c r="I27" s="213"/>
      <c r="J27" s="214"/>
      <c r="K27" s="112"/>
      <c r="L27" s="215"/>
      <c r="M27" s="215"/>
      <c r="N27" s="105"/>
    </row>
    <row r="28" spans="1:15" ht="20.149999999999999" customHeight="1" x14ac:dyDescent="0.3">
      <c r="A28" s="112"/>
      <c r="B28" s="216" t="s">
        <v>14</v>
      </c>
      <c r="C28" s="217"/>
      <c r="D28" s="223" t="s">
        <v>28</v>
      </c>
      <c r="E28" s="224"/>
      <c r="F28" s="205">
        <v>914</v>
      </c>
      <c r="G28" s="206"/>
      <c r="H28" s="227">
        <f>+Rehab!G6</f>
        <v>39498.11</v>
      </c>
      <c r="I28" s="211">
        <f t="shared" si="6"/>
        <v>0.31575094643880247</v>
      </c>
      <c r="J28" s="212"/>
      <c r="K28" s="112"/>
      <c r="L28" s="215"/>
      <c r="M28" s="215"/>
    </row>
    <row r="29" spans="1:15" ht="20.149999999999999" customHeight="1" x14ac:dyDescent="0.3">
      <c r="A29" s="112"/>
      <c r="B29" s="216" t="s">
        <v>29</v>
      </c>
      <c r="C29" s="217"/>
      <c r="D29" s="225"/>
      <c r="E29" s="226"/>
      <c r="F29" s="207"/>
      <c r="G29" s="208"/>
      <c r="H29" s="228"/>
      <c r="I29" s="213"/>
      <c r="J29" s="214"/>
      <c r="K29" s="112"/>
      <c r="L29" s="215"/>
      <c r="M29" s="215"/>
    </row>
    <row r="30" spans="1:15" ht="20.149999999999999" customHeight="1" x14ac:dyDescent="0.3">
      <c r="A30" s="112"/>
      <c r="B30" s="216" t="s">
        <v>11</v>
      </c>
      <c r="C30" s="217"/>
      <c r="D30" s="223" t="s">
        <v>30</v>
      </c>
      <c r="E30" s="224"/>
      <c r="F30" s="205">
        <v>914</v>
      </c>
      <c r="G30" s="206"/>
      <c r="H30" s="209">
        <v>11790</v>
      </c>
      <c r="I30" s="211">
        <f t="shared" si="6"/>
        <v>9.4250171932618573E-2</v>
      </c>
      <c r="J30" s="212"/>
      <c r="K30" s="112"/>
      <c r="L30" s="215"/>
      <c r="M30" s="215"/>
    </row>
    <row r="31" spans="1:15" ht="20.149999999999999" customHeight="1" x14ac:dyDescent="0.3">
      <c r="A31" s="112"/>
      <c r="B31" s="216" t="s">
        <v>31</v>
      </c>
      <c r="C31" s="217"/>
      <c r="D31" s="225"/>
      <c r="E31" s="226"/>
      <c r="F31" s="207"/>
      <c r="G31" s="208"/>
      <c r="H31" s="210"/>
      <c r="I31" s="213"/>
      <c r="J31" s="214"/>
      <c r="K31" s="112"/>
      <c r="L31" s="215"/>
      <c r="M31" s="215"/>
    </row>
    <row r="32" spans="1:15" ht="20.149999999999999" customHeight="1" x14ac:dyDescent="0.3">
      <c r="A32" s="112"/>
      <c r="B32" s="216" t="s">
        <v>14</v>
      </c>
      <c r="C32" s="217"/>
      <c r="D32" s="223" t="s">
        <v>32</v>
      </c>
      <c r="E32" s="224"/>
      <c r="F32" s="205">
        <v>914</v>
      </c>
      <c r="G32" s="206"/>
      <c r="H32" s="209">
        <v>28601</v>
      </c>
      <c r="I32" s="211">
        <f t="shared" si="6"/>
        <v>0.22863860622941679</v>
      </c>
      <c r="J32" s="212"/>
      <c r="K32" s="112"/>
      <c r="L32" s="215"/>
      <c r="M32" s="215"/>
    </row>
    <row r="33" spans="1:16" ht="20.149999999999999" customHeight="1" x14ac:dyDescent="0.3">
      <c r="A33" s="112"/>
      <c r="B33" s="216" t="s">
        <v>33</v>
      </c>
      <c r="C33" s="217"/>
      <c r="D33" s="225"/>
      <c r="E33" s="226"/>
      <c r="F33" s="207"/>
      <c r="G33" s="208"/>
      <c r="H33" s="210"/>
      <c r="I33" s="213"/>
      <c r="J33" s="214"/>
      <c r="K33" s="112"/>
      <c r="L33" s="215"/>
      <c r="M33" s="215"/>
    </row>
    <row r="34" spans="1:16" ht="20.149999999999999" customHeight="1" x14ac:dyDescent="0.3">
      <c r="A34" s="112"/>
      <c r="B34" s="216" t="s">
        <v>14</v>
      </c>
      <c r="C34" s="217"/>
      <c r="D34" s="223" t="s">
        <v>34</v>
      </c>
      <c r="E34" s="224"/>
      <c r="F34" s="205">
        <v>914</v>
      </c>
      <c r="G34" s="206"/>
      <c r="H34" s="209">
        <v>7983</v>
      </c>
      <c r="I34" s="211">
        <f t="shared" si="6"/>
        <v>6.3816719468879901E-2</v>
      </c>
      <c r="J34" s="212"/>
      <c r="K34" s="112"/>
      <c r="L34" s="215"/>
      <c r="M34" s="215"/>
    </row>
    <row r="35" spans="1:16" ht="19" customHeight="1" x14ac:dyDescent="0.3">
      <c r="A35" s="112"/>
      <c r="B35" s="216" t="s">
        <v>35</v>
      </c>
      <c r="C35" s="217"/>
      <c r="D35" s="225"/>
      <c r="E35" s="226"/>
      <c r="F35" s="207"/>
      <c r="G35" s="208"/>
      <c r="H35" s="210"/>
      <c r="I35" s="213"/>
      <c r="J35" s="214"/>
      <c r="K35" s="112"/>
      <c r="L35" s="215"/>
      <c r="M35" s="215"/>
    </row>
    <row r="36" spans="1:16" ht="20.149999999999999" customHeight="1" x14ac:dyDescent="0.3">
      <c r="A36" s="112"/>
      <c r="B36" s="199" t="s">
        <v>11</v>
      </c>
      <c r="C36" s="200"/>
      <c r="D36" s="201" t="s">
        <v>36</v>
      </c>
      <c r="E36" s="202"/>
      <c r="F36" s="205">
        <v>914</v>
      </c>
      <c r="G36" s="206"/>
      <c r="H36" s="209">
        <v>800</v>
      </c>
      <c r="I36" s="211">
        <f t="shared" si="6"/>
        <v>6.3952618783795472E-3</v>
      </c>
      <c r="J36" s="212"/>
      <c r="K36" s="112"/>
      <c r="L36" s="215"/>
      <c r="M36" s="215"/>
    </row>
    <row r="37" spans="1:16" ht="21" customHeight="1" x14ac:dyDescent="0.3">
      <c r="A37" s="112"/>
      <c r="B37" s="216" t="s">
        <v>37</v>
      </c>
      <c r="C37" s="217"/>
      <c r="D37" s="203"/>
      <c r="E37" s="204"/>
      <c r="F37" s="207"/>
      <c r="G37" s="208"/>
      <c r="H37" s="210"/>
      <c r="I37" s="213"/>
      <c r="J37" s="214"/>
      <c r="K37" s="112"/>
      <c r="L37" s="215"/>
      <c r="M37" s="215"/>
      <c r="O37" s="126">
        <f>+Rehab!F45</f>
        <v>125092.60999999999</v>
      </c>
    </row>
    <row r="38" spans="1:16" ht="20.149999999999999" customHeight="1" x14ac:dyDescent="0.3">
      <c r="A38" s="112"/>
      <c r="B38" s="221"/>
      <c r="C38" s="222"/>
      <c r="D38" s="223"/>
      <c r="E38" s="224"/>
      <c r="F38" s="205"/>
      <c r="G38" s="206"/>
      <c r="H38" s="209"/>
      <c r="I38" s="211">
        <f>H38/N6</f>
        <v>0</v>
      </c>
      <c r="J38" s="212"/>
      <c r="K38" s="112"/>
      <c r="L38" s="215"/>
      <c r="M38" s="215"/>
      <c r="O38" s="110" t="s">
        <v>38</v>
      </c>
      <c r="P38" s="110" t="s">
        <v>39</v>
      </c>
    </row>
    <row r="39" spans="1:16" ht="20.9" customHeight="1" x14ac:dyDescent="0.3">
      <c r="A39" s="112"/>
      <c r="B39" s="221"/>
      <c r="C39" s="222"/>
      <c r="D39" s="225"/>
      <c r="E39" s="226"/>
      <c r="F39" s="207"/>
      <c r="G39" s="208"/>
      <c r="H39" s="210"/>
      <c r="I39" s="213"/>
      <c r="J39" s="214"/>
      <c r="K39" s="112"/>
      <c r="L39" s="215"/>
      <c r="M39" s="215"/>
      <c r="N39" s="8">
        <f>SUM(H26:H39)</f>
        <v>115168.93</v>
      </c>
      <c r="O39" s="105">
        <f>+N39+O19</f>
        <v>125092.60999999999</v>
      </c>
      <c r="P39" s="109">
        <f>+O37-O39</f>
        <v>0</v>
      </c>
    </row>
    <row r="40" spans="1:16" ht="129.75" customHeight="1" x14ac:dyDescent="0.3">
      <c r="A40" s="218" t="s">
        <v>114</v>
      </c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</row>
    <row r="41" spans="1:16" ht="18" customHeight="1" x14ac:dyDescent="0.3">
      <c r="A41" s="112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15"/>
      <c r="M41" s="215"/>
    </row>
    <row r="42" spans="1:16" ht="14.5" x14ac:dyDescent="0.35">
      <c r="D42" s="131" t="s">
        <v>112</v>
      </c>
      <c r="E42" s="131" t="s">
        <v>113</v>
      </c>
    </row>
    <row r="43" spans="1:16" x14ac:dyDescent="0.3">
      <c r="D43" s="132">
        <v>48589.82</v>
      </c>
      <c r="E43" s="133">
        <v>0.38843077940415505</v>
      </c>
    </row>
  </sheetData>
  <mergeCells count="137">
    <mergeCell ref="B26:C26"/>
    <mergeCell ref="D26:E27"/>
    <mergeCell ref="F26:G27"/>
    <mergeCell ref="H26:H27"/>
    <mergeCell ref="I26:J27"/>
    <mergeCell ref="L26:M26"/>
    <mergeCell ref="B27:C27"/>
    <mergeCell ref="L27:M27"/>
    <mergeCell ref="B8:C8"/>
    <mergeCell ref="D8:E9"/>
    <mergeCell ref="F8:G9"/>
    <mergeCell ref="H8:H9"/>
    <mergeCell ref="I8:J9"/>
    <mergeCell ref="L8:M8"/>
    <mergeCell ref="B9:C9"/>
    <mergeCell ref="L9:M9"/>
    <mergeCell ref="B18:C18"/>
    <mergeCell ref="D18:E19"/>
    <mergeCell ref="F18:G19"/>
    <mergeCell ref="H18:H19"/>
    <mergeCell ref="I18:J19"/>
    <mergeCell ref="L18:M18"/>
    <mergeCell ref="B19:C19"/>
    <mergeCell ref="L19:M19"/>
    <mergeCell ref="C1:I1"/>
    <mergeCell ref="L1:M1"/>
    <mergeCell ref="A2:M2"/>
    <mergeCell ref="A3:M3"/>
    <mergeCell ref="B4:C4"/>
    <mergeCell ref="D4:E5"/>
    <mergeCell ref="F4:G5"/>
    <mergeCell ref="H4:H5"/>
    <mergeCell ref="I4:J5"/>
    <mergeCell ref="L4:M4"/>
    <mergeCell ref="B5:C5"/>
    <mergeCell ref="L5:M5"/>
    <mergeCell ref="B6:C6"/>
    <mergeCell ref="D6:E7"/>
    <mergeCell ref="F6:G7"/>
    <mergeCell ref="H6:H7"/>
    <mergeCell ref="I6:J7"/>
    <mergeCell ref="L6:M6"/>
    <mergeCell ref="B7:C7"/>
    <mergeCell ref="L7:M7"/>
    <mergeCell ref="B10:C10"/>
    <mergeCell ref="D10:E11"/>
    <mergeCell ref="F10:G11"/>
    <mergeCell ref="H10:H11"/>
    <mergeCell ref="I10:J11"/>
    <mergeCell ref="L10:M10"/>
    <mergeCell ref="B11:C11"/>
    <mergeCell ref="L11:M11"/>
    <mergeCell ref="B14:C14"/>
    <mergeCell ref="D14:E15"/>
    <mergeCell ref="F14:G15"/>
    <mergeCell ref="H14:H15"/>
    <mergeCell ref="I14:J15"/>
    <mergeCell ref="L14:M14"/>
    <mergeCell ref="B15:C15"/>
    <mergeCell ref="L15:M15"/>
    <mergeCell ref="B12:C12"/>
    <mergeCell ref="D12:E13"/>
    <mergeCell ref="F12:G13"/>
    <mergeCell ref="H12:H13"/>
    <mergeCell ref="I12:J13"/>
    <mergeCell ref="L12:M12"/>
    <mergeCell ref="B13:C13"/>
    <mergeCell ref="L13:M13"/>
    <mergeCell ref="B24:C24"/>
    <mergeCell ref="D24:E25"/>
    <mergeCell ref="F24:G25"/>
    <mergeCell ref="H24:H25"/>
    <mergeCell ref="I24:J25"/>
    <mergeCell ref="L24:M24"/>
    <mergeCell ref="B25:C25"/>
    <mergeCell ref="L25:M25"/>
    <mergeCell ref="B16:C16"/>
    <mergeCell ref="D16:E17"/>
    <mergeCell ref="F16:G17"/>
    <mergeCell ref="H16:H17"/>
    <mergeCell ref="I16:J17"/>
    <mergeCell ref="L16:M16"/>
    <mergeCell ref="B17:C17"/>
    <mergeCell ref="L17:M17"/>
    <mergeCell ref="A23:M23"/>
    <mergeCell ref="A20:M20"/>
    <mergeCell ref="B30:C30"/>
    <mergeCell ref="D30:E31"/>
    <mergeCell ref="F30:G31"/>
    <mergeCell ref="H30:H31"/>
    <mergeCell ref="I30:J31"/>
    <mergeCell ref="L30:M30"/>
    <mergeCell ref="B31:C31"/>
    <mergeCell ref="L31:M31"/>
    <mergeCell ref="B28:C28"/>
    <mergeCell ref="D28:E29"/>
    <mergeCell ref="F28:G29"/>
    <mergeCell ref="H28:H29"/>
    <mergeCell ref="I28:J29"/>
    <mergeCell ref="L28:M28"/>
    <mergeCell ref="B29:C29"/>
    <mergeCell ref="L29:M29"/>
    <mergeCell ref="H34:H35"/>
    <mergeCell ref="I34:J35"/>
    <mergeCell ref="L34:M34"/>
    <mergeCell ref="B35:C35"/>
    <mergeCell ref="L35:M35"/>
    <mergeCell ref="B32:C32"/>
    <mergeCell ref="D32:E33"/>
    <mergeCell ref="F32:G33"/>
    <mergeCell ref="H32:H33"/>
    <mergeCell ref="I32:J33"/>
    <mergeCell ref="L32:M32"/>
    <mergeCell ref="B33:C33"/>
    <mergeCell ref="L33:M33"/>
    <mergeCell ref="B34:C34"/>
    <mergeCell ref="D34:E35"/>
    <mergeCell ref="F34:G35"/>
    <mergeCell ref="B41:K41"/>
    <mergeCell ref="L41:M41"/>
    <mergeCell ref="B38:C38"/>
    <mergeCell ref="D38:E39"/>
    <mergeCell ref="F38:G39"/>
    <mergeCell ref="H38:H39"/>
    <mergeCell ref="I38:J39"/>
    <mergeCell ref="L38:M38"/>
    <mergeCell ref="B39:C39"/>
    <mergeCell ref="L39:M39"/>
    <mergeCell ref="B36:C36"/>
    <mergeCell ref="D36:E37"/>
    <mergeCell ref="F36:G37"/>
    <mergeCell ref="H36:H37"/>
    <mergeCell ref="I36:J37"/>
    <mergeCell ref="L36:M36"/>
    <mergeCell ref="B37:C37"/>
    <mergeCell ref="L37:M37"/>
    <mergeCell ref="A40:M40"/>
  </mergeCells>
  <printOptions horizontalCentered="1"/>
  <pageMargins left="0" right="0" top="0.75" bottom="0.75" header="0.3" footer="0.3"/>
  <pageSetup scale="90" orientation="portrait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1C50-11D0-47D5-870C-8B6F0F94E5E1}">
  <sheetPr>
    <tabColor rgb="FF7030A0"/>
  </sheetPr>
  <dimension ref="A2:J54"/>
  <sheetViews>
    <sheetView topLeftCell="A14" workbookViewId="0">
      <selection activeCell="F66" sqref="F66"/>
    </sheetView>
  </sheetViews>
  <sheetFormatPr defaultColWidth="9.296875" defaultRowHeight="14.5" x14ac:dyDescent="0.35"/>
  <cols>
    <col min="1" max="1" width="6.296875" style="9" customWidth="1"/>
    <col min="2" max="2" width="78.69921875" style="9" bestFit="1" customWidth="1"/>
    <col min="3" max="3" width="14.796875" style="9" customWidth="1"/>
    <col min="4" max="4" width="8.796875" style="9" customWidth="1"/>
    <col min="5" max="5" width="10.19921875" style="9" customWidth="1"/>
    <col min="6" max="6" width="28.5" style="1" customWidth="1"/>
    <col min="7" max="8" width="13.69921875" style="1" bestFit="1" customWidth="1"/>
    <col min="9" max="10" width="9.296875" style="9"/>
    <col min="11" max="11" width="9.796875" style="9" bestFit="1" customWidth="1"/>
    <col min="12" max="16384" width="9.296875" style="9"/>
  </cols>
  <sheetData>
    <row r="2" spans="1:10" s="10" customFormat="1" ht="29" x14ac:dyDescent="0.35">
      <c r="A2" s="14" t="s">
        <v>40</v>
      </c>
      <c r="B2" s="14" t="s">
        <v>41</v>
      </c>
      <c r="C2" s="15"/>
      <c r="F2" s="17"/>
      <c r="G2" s="17"/>
      <c r="H2" s="17"/>
    </row>
    <row r="3" spans="1:10" s="10" customFormat="1" x14ac:dyDescent="0.35">
      <c r="A3" s="10" t="s">
        <v>42</v>
      </c>
      <c r="B3" s="14" t="s">
        <v>43</v>
      </c>
      <c r="C3" s="18">
        <v>0.18809999999999999</v>
      </c>
      <c r="F3" s="17"/>
      <c r="G3" s="17"/>
      <c r="H3" s="17"/>
    </row>
    <row r="4" spans="1:10" x14ac:dyDescent="0.35">
      <c r="F4" s="115">
        <f>SUM(F38,F39)</f>
        <v>11790</v>
      </c>
      <c r="G4" s="115">
        <f>SUM(G23,G24,F28)+F13</f>
        <v>26496.82</v>
      </c>
      <c r="H4" s="115" t="s">
        <v>44</v>
      </c>
    </row>
    <row r="5" spans="1:10" x14ac:dyDescent="0.35">
      <c r="F5" s="115"/>
      <c r="G5" s="115">
        <f>SUM(H21,H22)</f>
        <v>28601</v>
      </c>
      <c r="H5" s="115" t="s">
        <v>45</v>
      </c>
    </row>
    <row r="6" spans="1:10" ht="18.5" x14ac:dyDescent="0.35">
      <c r="B6" s="19" t="s">
        <v>46</v>
      </c>
      <c r="F6" s="115"/>
      <c r="G6" s="115">
        <f>+H29+H30+H31+H32+H33+H26</f>
        <v>39498.11</v>
      </c>
      <c r="H6" s="115" t="s">
        <v>47</v>
      </c>
    </row>
    <row r="7" spans="1:10" s="11" customFormat="1" ht="18.5" x14ac:dyDescent="0.35">
      <c r="B7" s="93" t="s">
        <v>48</v>
      </c>
      <c r="C7" s="94" t="s">
        <v>49</v>
      </c>
      <c r="E7" s="32" t="s">
        <v>50</v>
      </c>
      <c r="F7" s="33" t="s">
        <v>51</v>
      </c>
      <c r="G7" s="33" t="s">
        <v>52</v>
      </c>
      <c r="H7" s="33" t="s">
        <v>53</v>
      </c>
    </row>
    <row r="8" spans="1:10" x14ac:dyDescent="0.35">
      <c r="B8" s="35" t="s">
        <v>54</v>
      </c>
      <c r="C8" s="108">
        <v>858.17</v>
      </c>
      <c r="E8" s="9" t="s">
        <v>55</v>
      </c>
      <c r="F8" s="115"/>
      <c r="G8" s="115"/>
      <c r="H8" s="117">
        <v>414.22</v>
      </c>
    </row>
    <row r="9" spans="1:10" x14ac:dyDescent="0.35">
      <c r="B9" s="35"/>
      <c r="C9" s="21"/>
      <c r="E9" s="116" t="s">
        <v>56</v>
      </c>
      <c r="F9" s="115"/>
      <c r="G9" s="115"/>
      <c r="H9" s="117">
        <v>13.46</v>
      </c>
    </row>
    <row r="10" spans="1:10" x14ac:dyDescent="0.35">
      <c r="B10" s="35" t="s">
        <v>57</v>
      </c>
      <c r="C10" s="21">
        <v>440</v>
      </c>
      <c r="E10" s="9" t="s">
        <v>58</v>
      </c>
      <c r="F10" s="115">
        <v>660</v>
      </c>
      <c r="G10" s="115"/>
      <c r="H10" s="115"/>
    </row>
    <row r="11" spans="1:10" x14ac:dyDescent="0.35">
      <c r="B11" s="35" t="s">
        <v>59</v>
      </c>
      <c r="C11" s="21"/>
      <c r="E11" s="9" t="s">
        <v>60</v>
      </c>
      <c r="F11" s="115"/>
      <c r="G11" s="115"/>
      <c r="H11" s="115">
        <v>2100</v>
      </c>
    </row>
    <row r="12" spans="1:10" ht="16" x14ac:dyDescent="0.35">
      <c r="B12" s="111" t="s">
        <v>61</v>
      </c>
      <c r="C12" s="118">
        <v>2048</v>
      </c>
      <c r="E12" s="3" t="s">
        <v>62</v>
      </c>
      <c r="F12" s="115">
        <v>860</v>
      </c>
      <c r="G12" s="115"/>
      <c r="H12" s="115"/>
      <c r="J12" s="9">
        <v>860</v>
      </c>
    </row>
    <row r="13" spans="1:10" ht="16" x14ac:dyDescent="0.35">
      <c r="B13" s="111" t="s">
        <v>63</v>
      </c>
      <c r="C13" s="118">
        <v>2048</v>
      </c>
      <c r="E13" s="3" t="s">
        <v>64</v>
      </c>
      <c r="F13" s="115">
        <v>1000</v>
      </c>
      <c r="G13" s="115"/>
      <c r="H13" s="115"/>
      <c r="J13" s="25">
        <v>188</v>
      </c>
    </row>
    <row r="14" spans="1:10" x14ac:dyDescent="0.35">
      <c r="B14" s="37" t="s">
        <v>65</v>
      </c>
      <c r="C14" s="118">
        <v>750</v>
      </c>
      <c r="E14" s="9" t="s">
        <v>66</v>
      </c>
      <c r="F14" s="115"/>
      <c r="G14" s="115"/>
      <c r="H14" s="115">
        <f>+C14</f>
        <v>750</v>
      </c>
    </row>
    <row r="15" spans="1:10" s="12" customFormat="1" ht="18.5" x14ac:dyDescent="0.45">
      <c r="B15" s="29" t="s">
        <v>67</v>
      </c>
      <c r="C15" s="30"/>
      <c r="E15" s="39"/>
      <c r="F15" s="40"/>
      <c r="G15" s="40"/>
      <c r="H15" s="40"/>
    </row>
    <row r="16" spans="1:10" ht="29" x14ac:dyDescent="0.35">
      <c r="B16" s="41" t="s">
        <v>68</v>
      </c>
      <c r="C16" s="42">
        <v>1200</v>
      </c>
      <c r="E16" s="9" t="s">
        <v>69</v>
      </c>
      <c r="F16" s="115"/>
      <c r="G16" s="115"/>
      <c r="H16" s="115">
        <f>+C16</f>
        <v>1200</v>
      </c>
    </row>
    <row r="17" spans="2:8" ht="29" x14ac:dyDescent="0.35">
      <c r="B17" s="41" t="s">
        <v>70</v>
      </c>
      <c r="C17" s="42">
        <v>3926</v>
      </c>
      <c r="E17" s="9" t="s">
        <v>69</v>
      </c>
      <c r="F17" s="115"/>
      <c r="G17" s="115"/>
      <c r="H17" s="115">
        <f>+C17</f>
        <v>3926</v>
      </c>
    </row>
    <row r="18" spans="2:8" s="11" customFormat="1" ht="18.5" x14ac:dyDescent="0.45">
      <c r="B18" s="29" t="s">
        <v>71</v>
      </c>
      <c r="C18" s="30"/>
      <c r="E18" s="39"/>
      <c r="F18" s="40"/>
      <c r="G18" s="40"/>
      <c r="H18" s="40"/>
    </row>
    <row r="19" spans="2:8" x14ac:dyDescent="0.35">
      <c r="B19" s="35" t="s">
        <v>72</v>
      </c>
      <c r="C19" s="23">
        <v>800</v>
      </c>
      <c r="E19" s="9" t="s">
        <v>73</v>
      </c>
      <c r="F19" s="115">
        <f>+C19</f>
        <v>800</v>
      </c>
      <c r="G19" s="115"/>
      <c r="H19" s="115"/>
    </row>
    <row r="20" spans="2:8" s="11" customFormat="1" ht="18.5" x14ac:dyDescent="0.45">
      <c r="B20" s="29" t="s">
        <v>74</v>
      </c>
      <c r="C20" s="30"/>
      <c r="E20" s="39"/>
      <c r="F20" s="40"/>
      <c r="G20" s="40"/>
      <c r="H20" s="40"/>
    </row>
    <row r="21" spans="2:8" x14ac:dyDescent="0.35">
      <c r="B21" s="35" t="s">
        <v>75</v>
      </c>
      <c r="C21" s="47">
        <v>25800</v>
      </c>
      <c r="E21" s="9" t="s">
        <v>76</v>
      </c>
      <c r="F21" s="115"/>
      <c r="G21" s="115"/>
      <c r="H21" s="115">
        <f>+C21</f>
        <v>25800</v>
      </c>
    </row>
    <row r="22" spans="2:8" ht="15.5" x14ac:dyDescent="0.35">
      <c r="B22" s="49" t="s">
        <v>77</v>
      </c>
      <c r="C22" s="50">
        <v>2801</v>
      </c>
      <c r="E22" s="9" t="s">
        <v>76</v>
      </c>
      <c r="F22" s="115"/>
      <c r="G22" s="115"/>
      <c r="H22" s="115">
        <f>+C22</f>
        <v>2801</v>
      </c>
    </row>
    <row r="23" spans="2:8" x14ac:dyDescent="0.35">
      <c r="B23" s="53" t="s">
        <v>78</v>
      </c>
      <c r="C23" s="54">
        <v>8160</v>
      </c>
      <c r="E23" s="9" t="s">
        <v>79</v>
      </c>
      <c r="F23" s="115"/>
      <c r="G23" s="115">
        <f>+C23</f>
        <v>8160</v>
      </c>
      <c r="H23" s="115"/>
    </row>
    <row r="24" spans="2:8" ht="15.5" x14ac:dyDescent="0.35">
      <c r="B24" s="57" t="s">
        <v>80</v>
      </c>
      <c r="C24" s="58">
        <v>6094</v>
      </c>
      <c r="E24" s="9" t="s">
        <v>79</v>
      </c>
      <c r="F24" s="115"/>
      <c r="G24" s="115">
        <f>+C24</f>
        <v>6094</v>
      </c>
      <c r="H24" s="115"/>
    </row>
    <row r="25" spans="2:8" s="11" customFormat="1" ht="18.5" x14ac:dyDescent="0.45">
      <c r="B25" s="29" t="s">
        <v>81</v>
      </c>
      <c r="C25" s="30"/>
      <c r="E25" s="39"/>
      <c r="F25" s="40"/>
      <c r="G25" s="40"/>
      <c r="H25" s="40"/>
    </row>
    <row r="26" spans="2:8" ht="15.5" x14ac:dyDescent="0.35">
      <c r="B26" s="62" t="s">
        <v>82</v>
      </c>
      <c r="C26" s="47">
        <v>17785.109999999997</v>
      </c>
      <c r="E26" s="9" t="s">
        <v>83</v>
      </c>
      <c r="F26" s="115"/>
      <c r="G26" s="115"/>
      <c r="H26" s="115">
        <f>+C26</f>
        <v>17785.109999999997</v>
      </c>
    </row>
    <row r="27" spans="2:8" s="11" customFormat="1" ht="18.5" x14ac:dyDescent="0.45">
      <c r="B27" s="29" t="s">
        <v>84</v>
      </c>
      <c r="C27" s="30"/>
      <c r="E27" s="39"/>
      <c r="F27" s="40"/>
      <c r="G27" s="40"/>
      <c r="H27" s="40"/>
    </row>
    <row r="28" spans="2:8" ht="15.5" x14ac:dyDescent="0.35">
      <c r="B28" s="49" t="s">
        <v>85</v>
      </c>
      <c r="C28" s="67">
        <v>11242.82</v>
      </c>
      <c r="E28" s="9" t="s">
        <v>79</v>
      </c>
      <c r="F28" s="115">
        <f>+C28</f>
        <v>11242.82</v>
      </c>
      <c r="G28" s="115"/>
      <c r="H28" s="115"/>
    </row>
    <row r="29" spans="2:8" ht="15.5" x14ac:dyDescent="0.35">
      <c r="B29" s="70" t="s">
        <v>86</v>
      </c>
      <c r="C29" s="119">
        <v>8500</v>
      </c>
      <c r="E29" s="9" t="s">
        <v>83</v>
      </c>
      <c r="F29" s="115"/>
      <c r="G29" s="115"/>
      <c r="H29" s="115">
        <f>+C29</f>
        <v>8500</v>
      </c>
    </row>
    <row r="30" spans="2:8" x14ac:dyDescent="0.35">
      <c r="B30" s="72" t="s">
        <v>87</v>
      </c>
      <c r="C30" s="73">
        <v>2293</v>
      </c>
      <c r="E30" s="9" t="s">
        <v>83</v>
      </c>
      <c r="F30" s="115"/>
      <c r="G30" s="115"/>
      <c r="H30" s="115">
        <f>+C30+188</f>
        <v>2481</v>
      </c>
    </row>
    <row r="31" spans="2:8" x14ac:dyDescent="0.35">
      <c r="B31" s="77" t="s">
        <v>88</v>
      </c>
      <c r="C31" s="67">
        <v>9172</v>
      </c>
      <c r="E31" s="9" t="s">
        <v>83</v>
      </c>
      <c r="F31" s="115"/>
      <c r="G31" s="115"/>
      <c r="H31" s="115">
        <f>+C31</f>
        <v>9172</v>
      </c>
    </row>
    <row r="32" spans="2:8" x14ac:dyDescent="0.35">
      <c r="B32" s="80" t="s">
        <v>89</v>
      </c>
      <c r="C32" s="81">
        <v>4850</v>
      </c>
      <c r="E32" s="9" t="s">
        <v>83</v>
      </c>
      <c r="F32" s="115"/>
      <c r="G32" s="115"/>
      <c r="H32" s="115">
        <v>880</v>
      </c>
    </row>
    <row r="33" spans="1:8" x14ac:dyDescent="0.35">
      <c r="A33" s="83"/>
      <c r="B33" s="84" t="s">
        <v>90</v>
      </c>
      <c r="C33" s="85">
        <v>409</v>
      </c>
      <c r="E33" s="9" t="s">
        <v>83</v>
      </c>
      <c r="F33" s="115"/>
      <c r="G33" s="115"/>
      <c r="H33" s="115">
        <v>680</v>
      </c>
    </row>
    <row r="34" spans="1:8" x14ac:dyDescent="0.35">
      <c r="A34" s="87"/>
      <c r="B34" s="88" t="s">
        <v>91</v>
      </c>
      <c r="C34" s="89">
        <v>0</v>
      </c>
      <c r="F34" s="115"/>
      <c r="G34" s="115"/>
      <c r="H34" s="115"/>
    </row>
    <row r="35" spans="1:8" x14ac:dyDescent="0.35">
      <c r="A35" s="90"/>
      <c r="B35" s="91" t="s">
        <v>92</v>
      </c>
      <c r="C35" s="92">
        <v>0</v>
      </c>
      <c r="F35" s="115"/>
      <c r="G35" s="115"/>
      <c r="H35" s="115"/>
    </row>
    <row r="36" spans="1:8" s="11" customFormat="1" ht="18.5" x14ac:dyDescent="0.35">
      <c r="B36" s="93" t="s">
        <v>93</v>
      </c>
      <c r="C36" s="94"/>
      <c r="E36" s="96"/>
      <c r="F36" s="97"/>
      <c r="G36" s="97"/>
      <c r="H36" s="97"/>
    </row>
    <row r="37" spans="1:8" ht="15.5" x14ac:dyDescent="0.35">
      <c r="B37" s="98" t="s">
        <v>94</v>
      </c>
      <c r="C37" s="37"/>
      <c r="E37" s="94"/>
      <c r="F37" s="94"/>
      <c r="G37" s="94"/>
      <c r="H37" s="95"/>
    </row>
    <row r="38" spans="1:8" x14ac:dyDescent="0.35">
      <c r="B38" s="100" t="s">
        <v>95</v>
      </c>
      <c r="C38" s="42">
        <v>5395</v>
      </c>
      <c r="E38" s="9" t="s">
        <v>96</v>
      </c>
      <c r="F38" s="115">
        <v>5395</v>
      </c>
      <c r="G38" s="115"/>
      <c r="H38" s="115"/>
    </row>
    <row r="39" spans="1:8" x14ac:dyDescent="0.35">
      <c r="B39" s="101" t="s">
        <v>97</v>
      </c>
      <c r="C39" s="102">
        <v>6395</v>
      </c>
      <c r="E39" s="9" t="s">
        <v>96</v>
      </c>
      <c r="F39" s="115">
        <v>6395</v>
      </c>
      <c r="G39" s="115"/>
      <c r="H39" s="115"/>
    </row>
    <row r="40" spans="1:8" s="11" customFormat="1" ht="18.5" x14ac:dyDescent="0.45">
      <c r="B40" s="29" t="s">
        <v>98</v>
      </c>
      <c r="C40" s="30"/>
      <c r="E40" s="39"/>
      <c r="F40" s="40"/>
      <c r="G40" s="40"/>
      <c r="H40" s="40"/>
    </row>
    <row r="41" spans="1:8" x14ac:dyDescent="0.35">
      <c r="B41" s="35" t="s">
        <v>99</v>
      </c>
      <c r="C41" s="42">
        <v>7911</v>
      </c>
      <c r="E41" s="9" t="s">
        <v>100</v>
      </c>
      <c r="F41" s="120">
        <v>7983</v>
      </c>
      <c r="G41" s="115"/>
      <c r="H41" s="115"/>
    </row>
    <row r="42" spans="1:8" ht="21" x14ac:dyDescent="0.5">
      <c r="B42" s="107" t="s">
        <v>101</v>
      </c>
      <c r="C42" s="106"/>
      <c r="F42" s="104">
        <f>SUM(F7:F41)</f>
        <v>34335.82</v>
      </c>
      <c r="G42" s="104">
        <f>SUM(G7:G41)</f>
        <v>14254</v>
      </c>
      <c r="H42" s="104">
        <f>SUM(H7:H41)</f>
        <v>76502.789999999994</v>
      </c>
    </row>
    <row r="43" spans="1:8" x14ac:dyDescent="0.35">
      <c r="F43" s="121">
        <f>+F42/F45</f>
        <v>0.27448320088612749</v>
      </c>
      <c r="G43" s="121">
        <f>+G42/F45</f>
        <v>0.11394757851802757</v>
      </c>
      <c r="H43" s="121">
        <f>+H42/F45</f>
        <v>0.61156922059584495</v>
      </c>
    </row>
    <row r="44" spans="1:8" x14ac:dyDescent="0.35">
      <c r="C44" s="122">
        <v>148600</v>
      </c>
      <c r="F44" s="121"/>
      <c r="G44" s="121"/>
      <c r="H44" s="121"/>
    </row>
    <row r="45" spans="1:8" x14ac:dyDescent="0.35">
      <c r="C45" s="24"/>
      <c r="F45" s="123">
        <f>+F42+G42+H42</f>
        <v>125092.60999999999</v>
      </c>
      <c r="G45" s="115"/>
      <c r="H45" s="115"/>
    </row>
    <row r="46" spans="1:8" x14ac:dyDescent="0.35">
      <c r="F46" s="115">
        <f>+F45*G46</f>
        <v>23529.919940999996</v>
      </c>
      <c r="G46" s="124">
        <v>0.18809999999999999</v>
      </c>
      <c r="H46" s="115"/>
    </row>
    <row r="47" spans="1:8" x14ac:dyDescent="0.35">
      <c r="F47" s="115">
        <f>SUM(F45:F46)</f>
        <v>148622.52994099999</v>
      </c>
      <c r="G47" s="115"/>
      <c r="H47" s="115"/>
    </row>
    <row r="50" spans="6:7" x14ac:dyDescent="0.35">
      <c r="F50" s="131" t="s">
        <v>112</v>
      </c>
      <c r="G50" s="131" t="s">
        <v>113</v>
      </c>
    </row>
    <row r="51" spans="6:7" x14ac:dyDescent="0.35">
      <c r="F51" s="127">
        <f>+F42</f>
        <v>34335.82</v>
      </c>
      <c r="G51" s="128">
        <f>+F51/F45</f>
        <v>0.27448320088612749</v>
      </c>
    </row>
    <row r="52" spans="6:7" x14ac:dyDescent="0.35">
      <c r="F52" s="127">
        <f>+G42</f>
        <v>14254</v>
      </c>
      <c r="G52" s="128">
        <f>+F52/F45</f>
        <v>0.11394757851802757</v>
      </c>
    </row>
    <row r="53" spans="6:7" ht="15" thickBot="1" x14ac:dyDescent="0.4">
      <c r="F53" s="129">
        <f>SUM(F51:F52)</f>
        <v>48589.82</v>
      </c>
      <c r="G53" s="130">
        <f>SUM(G51:G52)</f>
        <v>0.38843077940415505</v>
      </c>
    </row>
    <row r="54" spans="6:7" ht="15" thickTop="1" x14ac:dyDescent="0.3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3581-8D60-4DF5-A7BB-FA5FC50858CC}">
  <sheetPr>
    <tabColor rgb="FF7030A0"/>
  </sheetPr>
  <dimension ref="B2:M13"/>
  <sheetViews>
    <sheetView workbookViewId="0">
      <selection activeCell="J14" sqref="J14"/>
    </sheetView>
  </sheetViews>
  <sheetFormatPr defaultColWidth="9.296875" defaultRowHeight="13" x14ac:dyDescent="0.3"/>
  <cols>
    <col min="1" max="1" width="6.296875" customWidth="1"/>
    <col min="2" max="2" width="18.59765625" customWidth="1"/>
    <col min="3" max="5" width="14" customWidth="1"/>
    <col min="6" max="6" width="16" bestFit="1" customWidth="1"/>
    <col min="7" max="7" width="10.296875" bestFit="1" customWidth="1"/>
    <col min="8" max="8" width="8.796875" bestFit="1" customWidth="1"/>
    <col min="9" max="9" width="16.796875" bestFit="1" customWidth="1"/>
    <col min="10" max="13" width="12.69921875" bestFit="1" customWidth="1"/>
    <col min="14" max="14" width="10.19921875" bestFit="1" customWidth="1"/>
    <col min="15" max="15" width="12.69921875" bestFit="1" customWidth="1"/>
  </cols>
  <sheetData>
    <row r="2" spans="2:13" ht="14.5" x14ac:dyDescent="0.35">
      <c r="D2" s="18">
        <v>0.18809999999999999</v>
      </c>
    </row>
    <row r="4" spans="2:13" s="9" customFormat="1" ht="18.5" x14ac:dyDescent="0.35">
      <c r="B4" s="19" t="s">
        <v>46</v>
      </c>
      <c r="G4" s="125" t="s">
        <v>102</v>
      </c>
      <c r="I4" s="32" t="s">
        <v>50</v>
      </c>
      <c r="J4" s="33" t="s">
        <v>51</v>
      </c>
      <c r="K4" s="33" t="s">
        <v>52</v>
      </c>
      <c r="L4" s="33" t="s">
        <v>53</v>
      </c>
    </row>
    <row r="5" spans="2:13" s="9" customFormat="1" ht="14.5" x14ac:dyDescent="0.35">
      <c r="B5" s="20" t="s">
        <v>103</v>
      </c>
      <c r="C5" s="21">
        <v>1150</v>
      </c>
      <c r="D5" s="21">
        <f>+C5*D2</f>
        <v>216.315</v>
      </c>
      <c r="E5" s="22">
        <f>SUM(C5:D5)</f>
        <v>1366.3150000000001</v>
      </c>
      <c r="F5" s="23">
        <f>+E5</f>
        <v>1366.3150000000001</v>
      </c>
      <c r="G5" s="2">
        <v>1400</v>
      </c>
      <c r="H5" s="24">
        <f>+G5-F5</f>
        <v>33.684999999999945</v>
      </c>
      <c r="I5" s="9" t="s">
        <v>104</v>
      </c>
      <c r="J5" s="115"/>
      <c r="K5" s="115"/>
      <c r="L5" s="115">
        <f>+C5</f>
        <v>1150</v>
      </c>
      <c r="M5" s="25">
        <f>+C5-J5-K5-L5</f>
        <v>0</v>
      </c>
    </row>
    <row r="9" spans="2:13" ht="14.5" x14ac:dyDescent="0.35">
      <c r="K9" s="131" t="s">
        <v>113</v>
      </c>
    </row>
    <row r="10" spans="2:13" ht="14.5" x14ac:dyDescent="0.35">
      <c r="I10" s="131" t="s">
        <v>112</v>
      </c>
      <c r="J10" s="134">
        <v>0</v>
      </c>
      <c r="K10" s="128">
        <f>+J10/J12</f>
        <v>0</v>
      </c>
    </row>
    <row r="11" spans="2:13" ht="14.5" x14ac:dyDescent="0.35">
      <c r="I11" t="s">
        <v>53</v>
      </c>
      <c r="J11" s="134">
        <f>+L5</f>
        <v>1150</v>
      </c>
      <c r="K11" s="128">
        <f>+J11/J12</f>
        <v>1</v>
      </c>
    </row>
    <row r="12" spans="2:13" ht="15" thickBot="1" x14ac:dyDescent="0.4">
      <c r="J12" s="129">
        <f>SUM(J10:J11)</f>
        <v>1150</v>
      </c>
      <c r="K12" s="130">
        <f>SUM(K10:K11)</f>
        <v>1</v>
      </c>
    </row>
    <row r="13" spans="2:13" ht="13.5" thickTop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E6AB-D2A0-4613-8101-E822C121FB0E}">
  <sheetPr>
    <tabColor rgb="FF7030A0"/>
  </sheetPr>
  <dimension ref="A1:O54"/>
  <sheetViews>
    <sheetView workbookViewId="0">
      <selection activeCell="C22" sqref="C22"/>
    </sheetView>
  </sheetViews>
  <sheetFormatPr defaultColWidth="9.296875" defaultRowHeight="14.5" x14ac:dyDescent="0.35"/>
  <cols>
    <col min="1" max="1" width="6.296875" style="9" customWidth="1"/>
    <col min="2" max="2" width="57.69921875" style="9" customWidth="1"/>
    <col min="3" max="5" width="14" style="9" customWidth="1"/>
    <col min="6" max="6" width="16" style="9" bestFit="1" customWidth="1"/>
    <col min="7" max="7" width="13.796875" style="2" bestFit="1" customWidth="1"/>
    <col min="8" max="8" width="8.796875" style="9" bestFit="1" customWidth="1"/>
    <col min="9" max="9" width="16.796875" style="9" bestFit="1" customWidth="1"/>
    <col min="10" max="12" width="12.69921875" style="1" bestFit="1" customWidth="1"/>
    <col min="13" max="13" width="12.69921875" style="9" bestFit="1" customWidth="1"/>
    <col min="14" max="14" width="10.19921875" style="9" bestFit="1" customWidth="1"/>
    <col min="15" max="15" width="12.69921875" style="9" bestFit="1" customWidth="1"/>
    <col min="16" max="16384" width="9.296875" style="9"/>
  </cols>
  <sheetData>
    <row r="1" spans="1:13" x14ac:dyDescent="0.35">
      <c r="F1" s="13"/>
      <c r="J1" s="115"/>
      <c r="K1" s="115"/>
      <c r="L1" s="115"/>
    </row>
    <row r="2" spans="1:13" s="10" customFormat="1" ht="29" x14ac:dyDescent="0.35">
      <c r="A2" s="14" t="s">
        <v>40</v>
      </c>
      <c r="B2" s="14" t="s">
        <v>41</v>
      </c>
      <c r="C2" s="15"/>
      <c r="D2" s="16"/>
      <c r="F2" s="2"/>
      <c r="G2" s="2"/>
      <c r="J2" s="17"/>
      <c r="K2" s="17"/>
      <c r="L2" s="17"/>
    </row>
    <row r="3" spans="1:13" s="10" customFormat="1" x14ac:dyDescent="0.35">
      <c r="A3" s="10" t="s">
        <v>42</v>
      </c>
      <c r="B3" s="14" t="s">
        <v>43</v>
      </c>
      <c r="C3" s="18">
        <v>0.18809999999999999</v>
      </c>
      <c r="D3" s="16"/>
      <c r="F3" s="2"/>
      <c r="G3" s="2"/>
      <c r="J3" s="17"/>
      <c r="K3" s="17"/>
      <c r="L3" s="17"/>
    </row>
    <row r="5" spans="1:13" x14ac:dyDescent="0.35">
      <c r="G5" s="125" t="s">
        <v>102</v>
      </c>
      <c r="J5" s="115"/>
      <c r="K5" s="115"/>
      <c r="L5" s="115"/>
    </row>
    <row r="6" spans="1:13" ht="18.5" x14ac:dyDescent="0.35">
      <c r="B6" s="19" t="s">
        <v>46</v>
      </c>
      <c r="G6" s="125" t="s">
        <v>102</v>
      </c>
      <c r="J6" s="115"/>
      <c r="K6" s="115"/>
      <c r="L6" s="115"/>
    </row>
    <row r="7" spans="1:13" x14ac:dyDescent="0.35">
      <c r="B7" s="20" t="s">
        <v>103</v>
      </c>
      <c r="C7" s="21">
        <v>1150</v>
      </c>
      <c r="D7" s="21">
        <f>C7*$C$3</f>
        <v>216.315</v>
      </c>
      <c r="E7" s="22">
        <f>SUM(C7:D7)</f>
        <v>1366.3150000000001</v>
      </c>
      <c r="F7" s="23">
        <f>+E7</f>
        <v>1366.3150000000001</v>
      </c>
      <c r="G7" s="2">
        <v>1400</v>
      </c>
      <c r="H7" s="24">
        <f>+G7-F7</f>
        <v>33.684999999999945</v>
      </c>
      <c r="I7" s="9" t="s">
        <v>104</v>
      </c>
      <c r="J7" s="115"/>
      <c r="K7" s="115"/>
      <c r="L7" s="115">
        <f>+C7</f>
        <v>1150</v>
      </c>
      <c r="M7" s="25">
        <f>+C7-J7-K7-L7</f>
        <v>0</v>
      </c>
    </row>
    <row r="8" spans="1:13" x14ac:dyDescent="0.35">
      <c r="B8" s="26"/>
      <c r="C8" s="27"/>
      <c r="D8" s="27"/>
      <c r="E8" s="28"/>
      <c r="F8" s="28"/>
      <c r="H8" s="24"/>
      <c r="J8" s="115"/>
      <c r="K8" s="115"/>
      <c r="L8" s="115"/>
      <c r="M8" s="25"/>
    </row>
    <row r="9" spans="1:13" x14ac:dyDescent="0.35">
      <c r="B9" s="26"/>
      <c r="C9" s="27"/>
      <c r="D9" s="27"/>
      <c r="E9" s="28"/>
      <c r="F9" s="28"/>
      <c r="H9" s="24"/>
      <c r="J9" s="115"/>
      <c r="K9" s="115"/>
      <c r="L9" s="115"/>
      <c r="M9" s="25"/>
    </row>
    <row r="10" spans="1:13" s="11" customFormat="1" ht="18.5" x14ac:dyDescent="0.35">
      <c r="B10" s="29" t="s">
        <v>48</v>
      </c>
      <c r="C10" s="30"/>
      <c r="D10" s="30"/>
      <c r="E10" s="30"/>
      <c r="F10" s="31"/>
      <c r="G10" s="2"/>
      <c r="I10" s="32" t="s">
        <v>50</v>
      </c>
      <c r="J10" s="33" t="s">
        <v>51</v>
      </c>
      <c r="K10" s="33" t="s">
        <v>52</v>
      </c>
      <c r="L10" s="33" t="s">
        <v>53</v>
      </c>
      <c r="M10" s="34" t="s">
        <v>105</v>
      </c>
    </row>
    <row r="11" spans="1:13" x14ac:dyDescent="0.35">
      <c r="B11" s="35" t="s">
        <v>54</v>
      </c>
      <c r="C11" s="21">
        <v>858.17</v>
      </c>
      <c r="D11" s="21"/>
      <c r="E11" s="36">
        <f>+C11+D11</f>
        <v>858.17</v>
      </c>
      <c r="F11" s="23">
        <f>+E11</f>
        <v>858.17</v>
      </c>
      <c r="I11" s="9" t="s">
        <v>55</v>
      </c>
      <c r="J11" s="115"/>
      <c r="K11" s="115"/>
      <c r="L11" s="115">
        <f>+C11</f>
        <v>858.17</v>
      </c>
      <c r="M11" s="25">
        <f>+C11-J11-K11-L11</f>
        <v>0</v>
      </c>
    </row>
    <row r="12" spans="1:13" x14ac:dyDescent="0.35">
      <c r="B12" s="35" t="s">
        <v>57</v>
      </c>
      <c r="C12" s="21">
        <v>440</v>
      </c>
      <c r="D12" s="21">
        <f>+C12*$C$3</f>
        <v>82.763999999999996</v>
      </c>
      <c r="E12" s="36">
        <f>+C12+D12</f>
        <v>522.76400000000001</v>
      </c>
      <c r="F12" s="23">
        <f>+E12</f>
        <v>522.76400000000001</v>
      </c>
      <c r="J12" s="115"/>
      <c r="K12" s="115"/>
      <c r="L12" s="115"/>
      <c r="M12" s="25"/>
    </row>
    <row r="13" spans="1:13" x14ac:dyDescent="0.35">
      <c r="B13" s="37" t="s">
        <v>106</v>
      </c>
      <c r="C13" s="118">
        <v>2048</v>
      </c>
      <c r="D13" s="21">
        <f>+C13*$C$3</f>
        <v>385.22879999999998</v>
      </c>
      <c r="E13" s="36">
        <f>+C13+D13</f>
        <v>2433.2287999999999</v>
      </c>
      <c r="F13" s="23">
        <f>+E13</f>
        <v>2433.2287999999999</v>
      </c>
      <c r="I13" s="9" t="s">
        <v>107</v>
      </c>
      <c r="J13" s="115">
        <v>1200</v>
      </c>
      <c r="K13" s="115"/>
      <c r="L13" s="115"/>
      <c r="M13" s="25">
        <f>+C13-J13-K13-L13</f>
        <v>848</v>
      </c>
    </row>
    <row r="14" spans="1:13" x14ac:dyDescent="0.35">
      <c r="B14" s="37" t="s">
        <v>65</v>
      </c>
      <c r="C14" s="118">
        <v>750</v>
      </c>
      <c r="D14" s="21">
        <f>+C14*$C$3</f>
        <v>141.07499999999999</v>
      </c>
      <c r="E14" s="36">
        <f>+C14+D14</f>
        <v>891.07500000000005</v>
      </c>
      <c r="F14" s="23">
        <f>+E14</f>
        <v>891.07500000000005</v>
      </c>
      <c r="I14" s="9" t="s">
        <v>66</v>
      </c>
      <c r="J14" s="115"/>
      <c r="K14" s="115"/>
      <c r="L14" s="115">
        <f>+C14</f>
        <v>750</v>
      </c>
      <c r="M14" s="25">
        <f>+C14-J14-K14-L14</f>
        <v>0</v>
      </c>
    </row>
    <row r="15" spans="1:13" s="12" customFormat="1" ht="18.5" x14ac:dyDescent="0.45">
      <c r="B15" s="29" t="s">
        <v>67</v>
      </c>
      <c r="C15" s="30"/>
      <c r="D15" s="30"/>
      <c r="E15" s="30"/>
      <c r="F15" s="31"/>
      <c r="G15" s="38"/>
      <c r="I15" s="39"/>
      <c r="J15" s="40"/>
      <c r="K15" s="40"/>
      <c r="L15" s="40"/>
      <c r="M15" s="39"/>
    </row>
    <row r="16" spans="1:13" ht="15" customHeight="1" x14ac:dyDescent="0.35">
      <c r="B16" s="41" t="s">
        <v>68</v>
      </c>
      <c r="C16" s="42">
        <v>1200</v>
      </c>
      <c r="D16" s="43">
        <f>+C16*$C$3</f>
        <v>225.72</v>
      </c>
      <c r="E16" s="44">
        <f>SUM(C16:D16)</f>
        <v>1425.72</v>
      </c>
      <c r="F16" s="23">
        <f>+E16</f>
        <v>1425.72</v>
      </c>
      <c r="I16" s="9" t="s">
        <v>69</v>
      </c>
      <c r="J16" s="115"/>
      <c r="K16" s="115"/>
      <c r="L16" s="115">
        <f>+C16</f>
        <v>1200</v>
      </c>
      <c r="M16" s="25">
        <f>+C16-J16-K16-L16</f>
        <v>0</v>
      </c>
    </row>
    <row r="17" spans="2:15" ht="29" x14ac:dyDescent="0.35">
      <c r="B17" s="41" t="s">
        <v>70</v>
      </c>
      <c r="C17" s="42">
        <v>3926</v>
      </c>
      <c r="D17" s="43">
        <f>+C17*$C$3</f>
        <v>738.48059999999998</v>
      </c>
      <c r="E17" s="44">
        <f>SUM(C17:D17)</f>
        <v>4664.4805999999999</v>
      </c>
      <c r="F17" s="23">
        <f>+E17</f>
        <v>4664.4805999999999</v>
      </c>
      <c r="I17" s="9" t="s">
        <v>69</v>
      </c>
      <c r="J17" s="115"/>
      <c r="K17" s="115"/>
      <c r="L17" s="115">
        <f>+C17</f>
        <v>3926</v>
      </c>
      <c r="M17" s="25">
        <f>+C17-J17-K17-L17</f>
        <v>0</v>
      </c>
    </row>
    <row r="18" spans="2:15" s="11" customFormat="1" ht="18.75" customHeight="1" x14ac:dyDescent="0.45">
      <c r="B18" s="29" t="s">
        <v>71</v>
      </c>
      <c r="C18" s="30"/>
      <c r="D18" s="30"/>
      <c r="E18" s="30"/>
      <c r="F18" s="31"/>
      <c r="G18" s="2"/>
      <c r="I18" s="39"/>
      <c r="J18" s="40"/>
      <c r="K18" s="40"/>
      <c r="L18" s="40"/>
      <c r="M18" s="39"/>
    </row>
    <row r="19" spans="2:15" x14ac:dyDescent="0.35">
      <c r="B19" s="35" t="s">
        <v>72</v>
      </c>
      <c r="C19" s="23">
        <v>800</v>
      </c>
      <c r="D19" s="45">
        <f>+C19*$C$3</f>
        <v>150.47999999999999</v>
      </c>
      <c r="E19" s="36">
        <f>SUM(C19:D19)</f>
        <v>950.48</v>
      </c>
      <c r="F19" s="46">
        <f>+E19</f>
        <v>950.48</v>
      </c>
      <c r="I19" s="9" t="s">
        <v>73</v>
      </c>
      <c r="J19" s="115">
        <f>+C19</f>
        <v>800</v>
      </c>
      <c r="K19" s="115"/>
      <c r="L19" s="115"/>
    </row>
    <row r="20" spans="2:15" s="11" customFormat="1" ht="18.5" x14ac:dyDescent="0.45">
      <c r="B20" s="29" t="s">
        <v>74</v>
      </c>
      <c r="C20" s="30"/>
      <c r="D20" s="30"/>
      <c r="E20" s="30"/>
      <c r="F20" s="31"/>
      <c r="G20" s="2"/>
      <c r="I20" s="39"/>
      <c r="J20" s="40"/>
      <c r="K20" s="40"/>
      <c r="L20" s="40"/>
      <c r="M20" s="39"/>
    </row>
    <row r="21" spans="2:15" x14ac:dyDescent="0.35">
      <c r="B21" s="35" t="s">
        <v>75</v>
      </c>
      <c r="C21" s="47">
        <v>25800</v>
      </c>
      <c r="D21" s="45">
        <f>C21*$C$3</f>
        <v>4852.9799999999996</v>
      </c>
      <c r="E21" s="22">
        <f>SUM(C21:D21)</f>
        <v>30652.98</v>
      </c>
      <c r="F21" s="48">
        <f>+E21</f>
        <v>30652.98</v>
      </c>
      <c r="I21" s="9" t="s">
        <v>76</v>
      </c>
      <c r="J21" s="115"/>
      <c r="K21" s="115"/>
      <c r="L21" s="115">
        <f>+C21</f>
        <v>25800</v>
      </c>
      <c r="M21" s="25">
        <f>+C21-J21-K21-L21</f>
        <v>0</v>
      </c>
    </row>
    <row r="22" spans="2:15" ht="15.5" x14ac:dyDescent="0.35">
      <c r="B22" s="49" t="s">
        <v>77</v>
      </c>
      <c r="C22" s="50">
        <v>2801</v>
      </c>
      <c r="D22" s="51">
        <f>C22*$C$3</f>
        <v>526.86810000000003</v>
      </c>
      <c r="E22" s="52">
        <f>SUM(C22:D22)</f>
        <v>3327.8681000000001</v>
      </c>
      <c r="F22" s="48">
        <f>+E22</f>
        <v>3327.8681000000001</v>
      </c>
      <c r="I22" s="9" t="s">
        <v>76</v>
      </c>
      <c r="J22" s="115"/>
      <c r="K22" s="115"/>
      <c r="L22" s="115">
        <f>+C22</f>
        <v>2801</v>
      </c>
      <c r="M22" s="25">
        <f>+C22-J22-K22-L22</f>
        <v>0</v>
      </c>
    </row>
    <row r="23" spans="2:15" x14ac:dyDescent="0.35">
      <c r="B23" s="53" t="s">
        <v>78</v>
      </c>
      <c r="C23" s="54">
        <v>8160</v>
      </c>
      <c r="D23" s="55">
        <f>C23*$C$3</f>
        <v>1534.896</v>
      </c>
      <c r="E23" s="56">
        <f>SUM(C23:D23)</f>
        <v>9694.8960000000006</v>
      </c>
      <c r="F23" s="48">
        <f>+E23</f>
        <v>9694.8960000000006</v>
      </c>
      <c r="I23" s="9" t="s">
        <v>79</v>
      </c>
      <c r="J23" s="115"/>
      <c r="K23" s="115">
        <f>+C23</f>
        <v>8160</v>
      </c>
      <c r="L23" s="115"/>
      <c r="M23" s="25">
        <f>+C23-J23-K23-L23</f>
        <v>0</v>
      </c>
    </row>
    <row r="24" spans="2:15" ht="15.5" x14ac:dyDescent="0.35">
      <c r="B24" s="57" t="s">
        <v>80</v>
      </c>
      <c r="C24" s="58">
        <v>6094</v>
      </c>
      <c r="D24" s="59">
        <f>+C24*$C$3</f>
        <v>1146.2813999999998</v>
      </c>
      <c r="E24" s="60">
        <f>+C24+D24</f>
        <v>7240.2813999999998</v>
      </c>
      <c r="F24" s="48">
        <f>+E24</f>
        <v>7240.2813999999998</v>
      </c>
      <c r="I24" s="9" t="s">
        <v>79</v>
      </c>
      <c r="J24" s="115"/>
      <c r="K24" s="115">
        <f>+C24</f>
        <v>6094</v>
      </c>
      <c r="L24" s="115"/>
      <c r="M24" s="25">
        <f>+C24-J24-K24-L24</f>
        <v>0</v>
      </c>
    </row>
    <row r="25" spans="2:15" s="11" customFormat="1" ht="18.5" x14ac:dyDescent="0.45">
      <c r="B25" s="29" t="s">
        <v>81</v>
      </c>
      <c r="C25" s="30"/>
      <c r="D25" s="30"/>
      <c r="E25" s="30"/>
      <c r="F25" s="31"/>
      <c r="G25" s="61"/>
      <c r="I25" s="39"/>
      <c r="J25" s="40"/>
      <c r="K25" s="40"/>
      <c r="L25" s="40"/>
      <c r="M25" s="39"/>
    </row>
    <row r="26" spans="2:15" ht="15.5" x14ac:dyDescent="0.35">
      <c r="B26" s="62" t="s">
        <v>82</v>
      </c>
      <c r="C26" s="47">
        <v>17785.109999999997</v>
      </c>
      <c r="D26" s="63">
        <f>C26*$C$3</f>
        <v>3345.3791909999991</v>
      </c>
      <c r="E26" s="64">
        <f>SUM(C26:D26)</f>
        <v>21130.489190999997</v>
      </c>
      <c r="F26" s="65">
        <f>+E26</f>
        <v>21130.489190999997</v>
      </c>
      <c r="I26" s="9" t="s">
        <v>108</v>
      </c>
      <c r="J26" s="115"/>
      <c r="K26" s="115"/>
      <c r="L26" s="115">
        <v>10386.07</v>
      </c>
      <c r="M26" s="25">
        <f>+C26-J26-K26-L26</f>
        <v>7399.0399999999972</v>
      </c>
      <c r="O26" s="66">
        <v>22158</v>
      </c>
    </row>
    <row r="27" spans="2:15" s="11" customFormat="1" ht="18.5" x14ac:dyDescent="0.45">
      <c r="B27" s="29" t="s">
        <v>84</v>
      </c>
      <c r="C27" s="30"/>
      <c r="D27" s="30"/>
      <c r="E27" s="30"/>
      <c r="F27" s="31"/>
      <c r="G27" s="2"/>
      <c r="I27" s="39"/>
      <c r="J27" s="40"/>
      <c r="K27" s="40"/>
      <c r="L27" s="40"/>
      <c r="M27" s="39"/>
    </row>
    <row r="28" spans="2:15" ht="15.5" x14ac:dyDescent="0.35">
      <c r="B28" s="49" t="s">
        <v>85</v>
      </c>
      <c r="C28" s="67">
        <v>11242.82</v>
      </c>
      <c r="D28" s="51">
        <f t="shared" ref="D28:D35" si="0">+C28*$C$3</f>
        <v>2114.7744419999999</v>
      </c>
      <c r="E28" s="68">
        <f t="shared" ref="E28:E35" si="1">+C28+D28</f>
        <v>13357.594442</v>
      </c>
      <c r="F28" s="69">
        <f t="shared" ref="F28:F35" si="2">+E28</f>
        <v>13357.594442</v>
      </c>
      <c r="I28" s="9" t="s">
        <v>79</v>
      </c>
      <c r="J28" s="115">
        <v>10115.4</v>
      </c>
      <c r="K28" s="115"/>
      <c r="L28" s="115"/>
      <c r="M28" s="25">
        <f>+C28-J28-K28-L28</f>
        <v>1127.42</v>
      </c>
    </row>
    <row r="29" spans="2:15" ht="15.5" x14ac:dyDescent="0.35">
      <c r="B29" s="70" t="s">
        <v>86</v>
      </c>
      <c r="C29" s="119">
        <v>8500</v>
      </c>
      <c r="D29" s="63">
        <f t="shared" si="0"/>
        <v>1598.85</v>
      </c>
      <c r="E29" s="71">
        <f t="shared" si="1"/>
        <v>10098.85</v>
      </c>
      <c r="F29" s="69">
        <f t="shared" si="2"/>
        <v>10098.85</v>
      </c>
      <c r="I29" s="9" t="s">
        <v>83</v>
      </c>
      <c r="J29" s="115"/>
      <c r="K29" s="115"/>
      <c r="L29" s="115">
        <v>5000</v>
      </c>
      <c r="M29" s="25">
        <f>+C29-J29-K29-L29</f>
        <v>3500</v>
      </c>
      <c r="N29" s="9" t="s">
        <v>102</v>
      </c>
    </row>
    <row r="30" spans="2:15" x14ac:dyDescent="0.35">
      <c r="B30" s="72" t="s">
        <v>87</v>
      </c>
      <c r="C30" s="73">
        <v>2293</v>
      </c>
      <c r="D30" s="74">
        <f t="shared" si="0"/>
        <v>431.31329999999997</v>
      </c>
      <c r="E30" s="75">
        <f t="shared" si="1"/>
        <v>2724.3132999999998</v>
      </c>
      <c r="F30" s="76">
        <f t="shared" si="2"/>
        <v>2724.3132999999998</v>
      </c>
      <c r="G30" s="125" t="s">
        <v>102</v>
      </c>
      <c r="J30" s="115"/>
      <c r="K30" s="115"/>
      <c r="L30" s="115"/>
    </row>
    <row r="31" spans="2:15" ht="29" x14ac:dyDescent="0.35">
      <c r="B31" s="77" t="s">
        <v>88</v>
      </c>
      <c r="C31" s="67">
        <v>9172</v>
      </c>
      <c r="D31" s="78">
        <f t="shared" si="0"/>
        <v>1725.2531999999999</v>
      </c>
      <c r="E31" s="79">
        <f t="shared" si="1"/>
        <v>10897.253199999999</v>
      </c>
      <c r="F31" s="69">
        <f t="shared" si="2"/>
        <v>10897.253199999999</v>
      </c>
      <c r="I31" s="9" t="s">
        <v>83</v>
      </c>
      <c r="J31" s="115"/>
      <c r="K31" s="115"/>
      <c r="L31" s="115">
        <f>9172+2293</f>
        <v>11465</v>
      </c>
      <c r="M31" s="25">
        <f>+C31-J31-K31-L31</f>
        <v>-2293</v>
      </c>
      <c r="N31" s="9" t="s">
        <v>109</v>
      </c>
    </row>
    <row r="32" spans="2:15" x14ac:dyDescent="0.35">
      <c r="B32" s="80" t="s">
        <v>110</v>
      </c>
      <c r="C32" s="81">
        <v>4850</v>
      </c>
      <c r="D32" s="51">
        <f t="shared" si="0"/>
        <v>912.28499999999997</v>
      </c>
      <c r="E32" s="68">
        <f t="shared" si="1"/>
        <v>5762.2849999999999</v>
      </c>
      <c r="F32" s="69">
        <f t="shared" si="2"/>
        <v>5762.2849999999999</v>
      </c>
      <c r="G32" s="82">
        <f>+F31+F32</f>
        <v>16659.538199999999</v>
      </c>
      <c r="I32" s="9" t="s">
        <v>83</v>
      </c>
      <c r="J32" s="115"/>
      <c r="K32" s="115"/>
      <c r="L32" s="115">
        <v>4850</v>
      </c>
      <c r="M32" s="25">
        <f>+C32-J32-K32-L32</f>
        <v>0</v>
      </c>
      <c r="N32" s="9" t="s">
        <v>109</v>
      </c>
    </row>
    <row r="33" spans="1:15" x14ac:dyDescent="0.35">
      <c r="A33" s="83"/>
      <c r="B33" s="84" t="s">
        <v>90</v>
      </c>
      <c r="C33" s="85">
        <v>409</v>
      </c>
      <c r="D33" s="55">
        <f t="shared" si="0"/>
        <v>76.932899999999989</v>
      </c>
      <c r="E33" s="86">
        <f t="shared" si="1"/>
        <v>485.93290000000002</v>
      </c>
      <c r="F33" s="69">
        <f t="shared" si="2"/>
        <v>485.93290000000002</v>
      </c>
      <c r="I33" s="9" t="s">
        <v>83</v>
      </c>
      <c r="J33" s="115"/>
      <c r="K33" s="115"/>
      <c r="L33" s="115">
        <v>480</v>
      </c>
      <c r="M33" s="25">
        <f>+C33-J33-K33-L33</f>
        <v>-71</v>
      </c>
      <c r="N33" s="9" t="s">
        <v>109</v>
      </c>
    </row>
    <row r="34" spans="1:15" x14ac:dyDescent="0.35">
      <c r="A34" s="87"/>
      <c r="B34" s="88" t="s">
        <v>91</v>
      </c>
      <c r="C34" s="89">
        <v>0</v>
      </c>
      <c r="D34" s="45">
        <f t="shared" si="0"/>
        <v>0</v>
      </c>
      <c r="E34" s="36">
        <f t="shared" si="1"/>
        <v>0</v>
      </c>
      <c r="F34" s="69">
        <f t="shared" si="2"/>
        <v>0</v>
      </c>
      <c r="J34" s="115"/>
      <c r="K34" s="115"/>
      <c r="L34" s="115"/>
    </row>
    <row r="35" spans="1:15" x14ac:dyDescent="0.35">
      <c r="A35" s="90"/>
      <c r="B35" s="91" t="s">
        <v>92</v>
      </c>
      <c r="C35" s="92">
        <v>0</v>
      </c>
      <c r="D35" s="78">
        <f t="shared" si="0"/>
        <v>0</v>
      </c>
      <c r="E35" s="79">
        <f t="shared" si="1"/>
        <v>0</v>
      </c>
      <c r="F35" s="69">
        <f t="shared" si="2"/>
        <v>0</v>
      </c>
      <c r="J35" s="115"/>
      <c r="K35" s="115"/>
      <c r="L35" s="115"/>
    </row>
    <row r="36" spans="1:15" s="11" customFormat="1" ht="18.5" x14ac:dyDescent="0.35">
      <c r="B36" s="93" t="s">
        <v>93</v>
      </c>
      <c r="C36" s="94"/>
      <c r="D36" s="94"/>
      <c r="E36" s="94"/>
      <c r="F36" s="95"/>
      <c r="I36" s="96"/>
      <c r="J36" s="97"/>
      <c r="K36" s="97"/>
      <c r="L36" s="97"/>
      <c r="M36" s="96"/>
    </row>
    <row r="37" spans="1:15" ht="15.5" x14ac:dyDescent="0.35">
      <c r="B37" s="98" t="s">
        <v>94</v>
      </c>
      <c r="C37" s="37"/>
      <c r="D37" s="37"/>
      <c r="E37" s="99"/>
      <c r="F37" s="37"/>
      <c r="I37" s="94"/>
      <c r="J37" s="94"/>
      <c r="K37" s="94"/>
      <c r="L37" s="95"/>
      <c r="M37" s="95"/>
    </row>
    <row r="38" spans="1:15" ht="29" x14ac:dyDescent="0.35">
      <c r="B38" s="100" t="s">
        <v>95</v>
      </c>
      <c r="C38" s="42">
        <v>5395</v>
      </c>
      <c r="D38" s="45">
        <f>+C38*$C$3</f>
        <v>1014.7995</v>
      </c>
      <c r="E38" s="36">
        <f>+C38+D38</f>
        <v>6409.7995000000001</v>
      </c>
      <c r="F38" s="46">
        <f>+E38</f>
        <v>6409.7995000000001</v>
      </c>
      <c r="I38" s="9" t="s">
        <v>96</v>
      </c>
      <c r="J38" s="115">
        <v>5395</v>
      </c>
      <c r="K38" s="115"/>
      <c r="L38" s="115"/>
      <c r="M38" s="25">
        <f>+C38-J38-K38-L38</f>
        <v>0</v>
      </c>
    </row>
    <row r="39" spans="1:15" ht="29" x14ac:dyDescent="0.35">
      <c r="B39" s="101" t="s">
        <v>97</v>
      </c>
      <c r="C39" s="102">
        <v>6395</v>
      </c>
      <c r="D39" s="45">
        <f>+C39*$C$3</f>
        <v>1202.8995</v>
      </c>
      <c r="E39" s="36">
        <f>+C39+D39</f>
        <v>7597.8994999999995</v>
      </c>
      <c r="F39" s="46">
        <f>+E39</f>
        <v>7597.8994999999995</v>
      </c>
      <c r="G39" s="2">
        <f>+F38+F39</f>
        <v>14007.699000000001</v>
      </c>
      <c r="I39" s="9" t="s">
        <v>96</v>
      </c>
      <c r="J39" s="115">
        <v>6395</v>
      </c>
      <c r="K39" s="115"/>
      <c r="L39" s="115"/>
      <c r="M39" s="25">
        <f>+C39-J39-K39-L39</f>
        <v>0</v>
      </c>
    </row>
    <row r="40" spans="1:15" s="11" customFormat="1" ht="18.5" x14ac:dyDescent="0.45">
      <c r="B40" s="29" t="s">
        <v>98</v>
      </c>
      <c r="C40" s="30"/>
      <c r="D40" s="30"/>
      <c r="E40" s="30"/>
      <c r="F40" s="31"/>
      <c r="G40" s="2"/>
      <c r="I40" s="39"/>
      <c r="J40" s="40"/>
      <c r="K40" s="40"/>
      <c r="L40" s="40"/>
      <c r="M40" s="39"/>
      <c r="O40" s="103" t="s">
        <v>102</v>
      </c>
    </row>
    <row r="41" spans="1:15" x14ac:dyDescent="0.35">
      <c r="B41" s="35" t="s">
        <v>99</v>
      </c>
      <c r="C41" s="42">
        <v>7911</v>
      </c>
      <c r="D41" s="45">
        <f>+C41*$C$3</f>
        <v>1488.0590999999999</v>
      </c>
      <c r="E41" s="36">
        <f>+C41+D41</f>
        <v>9399.0591000000004</v>
      </c>
      <c r="F41" s="46">
        <f>+E41</f>
        <v>9399.0591000000004</v>
      </c>
      <c r="I41" s="9" t="s">
        <v>111</v>
      </c>
      <c r="J41" s="120">
        <f>+C41</f>
        <v>7911</v>
      </c>
      <c r="K41" s="115"/>
      <c r="L41" s="115"/>
      <c r="M41" s="25">
        <f>+C41-J41-K41-L41</f>
        <v>0</v>
      </c>
    </row>
    <row r="42" spans="1:15" x14ac:dyDescent="0.35">
      <c r="C42" s="104">
        <f>SUM(C7:C41)</f>
        <v>127980.1</v>
      </c>
      <c r="D42" s="104">
        <f>SUM(D7:D41)</f>
        <v>23911.635032999999</v>
      </c>
      <c r="E42" s="104">
        <f>SUM(E7:E41)</f>
        <v>151891.73503300003</v>
      </c>
      <c r="F42" s="104">
        <f>SUM(F7:F41)</f>
        <v>151891.73503300003</v>
      </c>
      <c r="G42" s="104"/>
      <c r="J42" s="104">
        <f>SUM(J7:J41)</f>
        <v>31816.400000000001</v>
      </c>
      <c r="K42" s="104">
        <f>SUM(K7:K41)</f>
        <v>14254</v>
      </c>
      <c r="L42" s="104">
        <f>SUM(L7:L41)</f>
        <v>68666.239999999991</v>
      </c>
      <c r="M42" s="104">
        <f>SUM(M7:M41)</f>
        <v>10510.459999999997</v>
      </c>
    </row>
    <row r="43" spans="1:15" x14ac:dyDescent="0.35">
      <c r="J43" s="121">
        <f>+J42/J44</f>
        <v>0.25402903540281579</v>
      </c>
      <c r="K43" s="121">
        <f>+K42/J44</f>
        <v>0.11380702627046856</v>
      </c>
      <c r="L43" s="121">
        <f>+L42/J44</f>
        <v>0.5482461470165777</v>
      </c>
    </row>
    <row r="44" spans="1:15" x14ac:dyDescent="0.35">
      <c r="C44" s="24">
        <f>+F45-C42</f>
        <v>22019.899999999994</v>
      </c>
      <c r="J44" s="115">
        <f>+J42+K42+L42+M42</f>
        <v>125247.09999999998</v>
      </c>
      <c r="K44" s="115"/>
      <c r="L44" s="115"/>
    </row>
    <row r="45" spans="1:15" x14ac:dyDescent="0.35">
      <c r="C45" s="121">
        <f>+C44/C42</f>
        <v>0.17205721827065296</v>
      </c>
      <c r="F45" s="125">
        <v>150000</v>
      </c>
      <c r="J45" s="115">
        <f>+F45-J44</f>
        <v>24752.900000000023</v>
      </c>
      <c r="K45" s="115"/>
      <c r="L45" s="115"/>
    </row>
    <row r="46" spans="1:15" x14ac:dyDescent="0.35">
      <c r="J46" s="121">
        <f>+J45/J44</f>
        <v>0.19763252003439624</v>
      </c>
      <c r="K46" s="115"/>
      <c r="L46" s="115"/>
    </row>
    <row r="48" spans="1:15" x14ac:dyDescent="0.35">
      <c r="F48" s="24">
        <f>+F45-F42</f>
        <v>-1891.7350330000336</v>
      </c>
      <c r="J48" s="115"/>
      <c r="K48" s="115"/>
      <c r="L48" s="115"/>
    </row>
    <row r="52" spans="7:7" x14ac:dyDescent="0.35">
      <c r="G52" s="2">
        <v>150000</v>
      </c>
    </row>
    <row r="53" spans="7:7" x14ac:dyDescent="0.35">
      <c r="G53" s="2">
        <v>-1400</v>
      </c>
    </row>
    <row r="54" spans="7:7" x14ac:dyDescent="0.35">
      <c r="G54" s="2">
        <f>SUM(G52:G53)</f>
        <v>148600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417D-D3B2-4F09-87D5-7F9146BF54AD}">
  <sheetPr>
    <pageSetUpPr fitToPage="1"/>
  </sheetPr>
  <dimension ref="A1:E18"/>
  <sheetViews>
    <sheetView zoomScaleNormal="100" workbookViewId="0">
      <pane ySplit="5" topLeftCell="A6" activePane="bottomLeft" state="frozen"/>
      <selection pane="bottomLeft" sqref="A1:E18"/>
    </sheetView>
  </sheetViews>
  <sheetFormatPr defaultColWidth="9.5" defaultRowHeight="14.5" x14ac:dyDescent="0.35"/>
  <cols>
    <col min="1" max="1" width="26" style="135" customWidth="1"/>
    <col min="2" max="2" width="20.796875" style="135" customWidth="1"/>
    <col min="3" max="3" width="15.59765625" style="135" customWidth="1"/>
    <col min="4" max="4" width="19.796875" style="135" customWidth="1"/>
    <col min="5" max="5" width="13.19921875" style="135" customWidth="1"/>
    <col min="6" max="16384" width="9.5" style="135"/>
  </cols>
  <sheetData>
    <row r="1" spans="1:5" ht="15.5" x14ac:dyDescent="0.35">
      <c r="A1" s="186" t="s">
        <v>177</v>
      </c>
      <c r="B1" s="153"/>
      <c r="C1" s="153"/>
      <c r="D1" s="153"/>
      <c r="E1" s="153"/>
    </row>
    <row r="2" spans="1:5" x14ac:dyDescent="0.35">
      <c r="A2" s="152" t="s">
        <v>175</v>
      </c>
      <c r="B2" s="151" t="s">
        <v>174</v>
      </c>
      <c r="C2" s="152" t="s">
        <v>173</v>
      </c>
      <c r="D2" s="151" t="s">
        <v>172</v>
      </c>
      <c r="E2" s="151"/>
    </row>
    <row r="3" spans="1:5" x14ac:dyDescent="0.35">
      <c r="A3" s="152" t="s">
        <v>171</v>
      </c>
      <c r="B3" s="151" t="s">
        <v>170</v>
      </c>
      <c r="C3" s="152" t="s">
        <v>169</v>
      </c>
      <c r="D3" s="151" t="s">
        <v>168</v>
      </c>
      <c r="E3" s="151"/>
    </row>
    <row r="4" spans="1:5" x14ac:dyDescent="0.35">
      <c r="A4" s="152" t="s">
        <v>165</v>
      </c>
      <c r="B4" s="151" t="s">
        <v>164</v>
      </c>
      <c r="C4" s="152" t="s">
        <v>163</v>
      </c>
      <c r="D4" s="151" t="s">
        <v>162</v>
      </c>
      <c r="E4" s="151"/>
    </row>
    <row r="5" spans="1:5" x14ac:dyDescent="0.35">
      <c r="A5" s="152" t="s">
        <v>161</v>
      </c>
      <c r="B5" s="151" t="s">
        <v>160</v>
      </c>
      <c r="C5" s="151"/>
      <c r="D5" s="151"/>
      <c r="E5" s="151"/>
    </row>
    <row r="6" spans="1:5" ht="21" x14ac:dyDescent="0.35">
      <c r="A6" s="189" t="s">
        <v>207</v>
      </c>
      <c r="B6" s="189" t="s">
        <v>208</v>
      </c>
      <c r="C6" s="189" t="s">
        <v>209</v>
      </c>
      <c r="D6" s="189" t="s">
        <v>210</v>
      </c>
      <c r="E6" s="189" t="s">
        <v>211</v>
      </c>
    </row>
    <row r="7" spans="1:5" ht="37.5" x14ac:dyDescent="0.35">
      <c r="A7" s="187" t="s">
        <v>193</v>
      </c>
      <c r="B7" s="187" t="s">
        <v>194</v>
      </c>
      <c r="C7" s="187"/>
      <c r="D7" s="187"/>
      <c r="E7" s="187"/>
    </row>
    <row r="8" spans="1:5" ht="42" customHeight="1" x14ac:dyDescent="0.35">
      <c r="A8" s="188" t="s">
        <v>197</v>
      </c>
      <c r="B8" s="188" t="s">
        <v>195</v>
      </c>
      <c r="C8" s="188"/>
      <c r="D8" s="188"/>
      <c r="E8" s="188"/>
    </row>
    <row r="9" spans="1:5" ht="25" x14ac:dyDescent="0.35">
      <c r="A9" s="188" t="s">
        <v>198</v>
      </c>
      <c r="B9" s="188" t="s">
        <v>196</v>
      </c>
      <c r="C9" s="188"/>
      <c r="D9" s="188"/>
      <c r="E9" s="188"/>
    </row>
    <row r="10" spans="1:5" ht="25" x14ac:dyDescent="0.35">
      <c r="A10" s="188" t="s">
        <v>199</v>
      </c>
      <c r="B10" s="188" t="s">
        <v>196</v>
      </c>
      <c r="C10" s="188"/>
      <c r="D10" s="188"/>
      <c r="E10" s="188"/>
    </row>
    <row r="11" spans="1:5" ht="25" x14ac:dyDescent="0.35">
      <c r="A11" s="188" t="s">
        <v>200</v>
      </c>
      <c r="B11" s="188" t="s">
        <v>196</v>
      </c>
      <c r="C11" s="188"/>
      <c r="D11" s="188"/>
      <c r="E11" s="188"/>
    </row>
    <row r="12" spans="1:5" ht="25" x14ac:dyDescent="0.35">
      <c r="A12" s="188" t="s">
        <v>188</v>
      </c>
      <c r="B12" s="188" t="s">
        <v>196</v>
      </c>
      <c r="C12" s="188"/>
      <c r="D12" s="188"/>
      <c r="E12" s="188"/>
    </row>
    <row r="13" spans="1:5" ht="37.5" x14ac:dyDescent="0.35">
      <c r="A13" s="187" t="s">
        <v>85</v>
      </c>
      <c r="B13" s="187" t="s">
        <v>194</v>
      </c>
      <c r="C13" s="187"/>
      <c r="D13" s="187"/>
      <c r="E13" s="187"/>
    </row>
    <row r="14" spans="1:5" ht="37.5" x14ac:dyDescent="0.35">
      <c r="A14" s="187" t="s">
        <v>203</v>
      </c>
      <c r="B14" s="187" t="s">
        <v>194</v>
      </c>
      <c r="C14" s="187"/>
      <c r="D14" s="187"/>
      <c r="E14" s="187"/>
    </row>
    <row r="15" spans="1:5" x14ac:dyDescent="0.35">
      <c r="A15" s="187" t="s">
        <v>202</v>
      </c>
      <c r="B15" s="187" t="s">
        <v>201</v>
      </c>
      <c r="C15" s="187"/>
      <c r="D15" s="187"/>
      <c r="E15" s="187"/>
    </row>
    <row r="16" spans="1:5" ht="37.5" x14ac:dyDescent="0.35">
      <c r="A16" s="187" t="s">
        <v>205</v>
      </c>
      <c r="B16" s="187" t="s">
        <v>204</v>
      </c>
      <c r="C16" s="187"/>
      <c r="D16" s="187"/>
      <c r="E16" s="187"/>
    </row>
    <row r="17" spans="1:5" x14ac:dyDescent="0.35">
      <c r="A17" s="188" t="s">
        <v>206</v>
      </c>
      <c r="B17" s="188" t="s">
        <v>183</v>
      </c>
      <c r="C17" s="188"/>
      <c r="D17" s="188"/>
      <c r="E17" s="188"/>
    </row>
    <row r="18" spans="1:5" ht="45.75" customHeight="1" x14ac:dyDescent="0.35">
      <c r="A18" s="188" t="s">
        <v>192</v>
      </c>
      <c r="B18" s="188" t="s">
        <v>192</v>
      </c>
      <c r="C18" s="188"/>
      <c r="D18" s="188"/>
      <c r="E18" s="188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d20-pmt</vt:lpstr>
      <vt:lpstr>DMI20</vt:lpstr>
      <vt:lpstr>Rehab</vt:lpstr>
      <vt:lpstr>test</vt:lpstr>
      <vt:lpstr>EvA</vt:lpstr>
      <vt:lpstr>CPM</vt:lpstr>
      <vt:lpstr>CPM!Print_Titles</vt:lpstr>
      <vt:lpstr>'d20-pmt'!Print_Titles</vt:lpstr>
      <vt:lpstr>'DMI20'!Print_Titles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Vendor Renewal Packet - AIO Enterprise - Job Order Contracting.pdf</dc:title>
  <dc:subject/>
  <dc:creator>Luz Polanco</dc:creator>
  <cp:keywords/>
  <dc:description/>
  <cp:lastModifiedBy>Luz Polanco</cp:lastModifiedBy>
  <cp:revision/>
  <dcterms:created xsi:type="dcterms:W3CDTF">2026-01-29T16:00:51Z</dcterms:created>
  <dcterms:modified xsi:type="dcterms:W3CDTF">2026-06-07T02:01:50Z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2025-11-05T00:00:00Z</vt:filetime>
  </property>
  <property fmtid="{D5CDD505-2E9C-101B-9397-08002B2CF9AE}" pid="3" name="LastSaved">
    <vt:filetime>2026-01-29T00:00:00Z</vt:filetime>
  </property>
  <property fmtid="{D5CDD505-2E9C-101B-9397-08002B2CF9AE}" pid="4" name="Producer">
    <vt:lpwstr>Microsoft: Print To PDF</vt:lpwstr>
  </property>
</Properties>
</file>